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 Output - HUB" sheetId="1" r:id="rId5"/>
  </sheets>
  <definedNames/>
  <calcPr/>
</workbook>
</file>

<file path=xl/sharedStrings.xml><?xml version="1.0" encoding="utf-8"?>
<sst xmlns="http://schemas.openxmlformats.org/spreadsheetml/2006/main" count="1528" uniqueCount="189">
  <si>
    <t>CountryCode</t>
  </si>
  <si>
    <t>TeamId</t>
  </si>
  <si>
    <t>BUId</t>
  </si>
  <si>
    <t>Level</t>
  </si>
  <si>
    <t>Role</t>
  </si>
  <si>
    <t>ProductId</t>
  </si>
  <si>
    <t>ChannelId</t>
  </si>
  <si>
    <t>DataType</t>
  </si>
  <si>
    <t>PlanType</t>
  </si>
  <si>
    <t>EmployeeId</t>
  </si>
  <si>
    <t>WorkUnitId</t>
  </si>
  <si>
    <t>DataPeriod</t>
  </si>
  <si>
    <t>LevelOfMeasurement</t>
  </si>
  <si>
    <t>Sales</t>
  </si>
  <si>
    <t>Goals</t>
  </si>
  <si>
    <t>Attainment</t>
  </si>
  <si>
    <t>Draw Multiplier</t>
  </si>
  <si>
    <t>Percent To Target</t>
  </si>
  <si>
    <t>Component Weight</t>
  </si>
  <si>
    <t>Target Pay</t>
  </si>
  <si>
    <t>New Hire Eligibilty</t>
  </si>
  <si>
    <t>Performance Eligibility</t>
  </si>
  <si>
    <t>IC Eligibility</t>
  </si>
  <si>
    <t>Pre Eligibilty Earnings</t>
  </si>
  <si>
    <t>Previous Cycle Payout</t>
  </si>
  <si>
    <t>Payout</t>
  </si>
  <si>
    <t>Key for ZFIR</t>
  </si>
  <si>
    <t>GB</t>
  </si>
  <si>
    <t>GB_FF_AT1DM</t>
  </si>
  <si>
    <t>GEN MEDS</t>
  </si>
  <si>
    <t>Nation</t>
  </si>
  <si>
    <t>Sales Lead</t>
  </si>
  <si>
    <t>(Average Pre-Eligible Earnings of underlying team) x 1.5</t>
  </si>
  <si>
    <t>Retail</t>
  </si>
  <si>
    <t>Dollar (£)</t>
  </si>
  <si>
    <t>Average of Underlying Terrs</t>
  </si>
  <si>
    <t>W90115334</t>
  </si>
  <si>
    <t>GB_AT1DM</t>
  </si>
  <si>
    <t>Trimester</t>
  </si>
  <si>
    <t/>
  </si>
  <si>
    <t>Territory</t>
  </si>
  <si>
    <t>Sales Rep</t>
  </si>
  <si>
    <t>Tzield</t>
  </si>
  <si>
    <t>KPI</t>
  </si>
  <si>
    <t>MBO</t>
  </si>
  <si>
    <t>W50193707</t>
  </si>
  <si>
    <t>GB_AT1DM_01</t>
  </si>
  <si>
    <t>W00083744</t>
  </si>
  <si>
    <t>GB_AT1DM_02</t>
  </si>
  <si>
    <t>W50188951</t>
  </si>
  <si>
    <t>GB_AT1DM_03</t>
  </si>
  <si>
    <t>W50155217</t>
  </si>
  <si>
    <t>GB_AT1DM_04</t>
  </si>
  <si>
    <t>W50153926</t>
  </si>
  <si>
    <t>GB_AT1DM_05</t>
  </si>
  <si>
    <t>GB_EP</t>
  </si>
  <si>
    <t>Toujeo</t>
  </si>
  <si>
    <t>W50144502</t>
  </si>
  <si>
    <t>GB_CMB2E</t>
  </si>
  <si>
    <t>Praluent</t>
  </si>
  <si>
    <t>Factored Units</t>
  </si>
  <si>
    <t>Goal Attainment</t>
  </si>
  <si>
    <t>GB_DEN_DES</t>
  </si>
  <si>
    <t>SPC</t>
  </si>
  <si>
    <t>DUPIXENT </t>
  </si>
  <si>
    <t>Units</t>
  </si>
  <si>
    <t>W50023266</t>
  </si>
  <si>
    <t>GB_DE_DEN1</t>
  </si>
  <si>
    <t>Quarter</t>
  </si>
  <si>
    <t>W50023285</t>
  </si>
  <si>
    <t>GB_DE_DEN2</t>
  </si>
  <si>
    <t>W50023243</t>
  </si>
  <si>
    <t>GB_DE_DEN3</t>
  </si>
  <si>
    <t>W50145972</t>
  </si>
  <si>
    <t>GB_DE_DEN4</t>
  </si>
  <si>
    <t>W90076622</t>
  </si>
  <si>
    <t>GB_DE_DEN6</t>
  </si>
  <si>
    <t>W50023044</t>
  </si>
  <si>
    <t>GB_DE_DES1</t>
  </si>
  <si>
    <t>W50054088</t>
  </si>
  <si>
    <t>GB_DE_DES2</t>
  </si>
  <si>
    <t>W50138008</t>
  </si>
  <si>
    <t>GB_DE_DES3</t>
  </si>
  <si>
    <t>W90093092</t>
  </si>
  <si>
    <t>GB_DE_DES4</t>
  </si>
  <si>
    <t>W50155370</t>
  </si>
  <si>
    <t>GB_DE_DES6</t>
  </si>
  <si>
    <t>W50155274</t>
  </si>
  <si>
    <t>GB_DE_DES7</t>
  </si>
  <si>
    <t>W50083205</t>
  </si>
  <si>
    <t>Region</t>
  </si>
  <si>
    <t>W90006551</t>
  </si>
  <si>
    <t>GB_DE_RSM_NORTH</t>
  </si>
  <si>
    <t>W50161003</t>
  </si>
  <si>
    <t>GB_DE_RSM_SOUTH</t>
  </si>
  <si>
    <t>Pounds</t>
  </si>
  <si>
    <t>W50140140</t>
  </si>
  <si>
    <t>GB_EP_M</t>
  </si>
  <si>
    <t>W90120341</t>
  </si>
  <si>
    <t>GB_EP01</t>
  </si>
  <si>
    <t>W00080507</t>
  </si>
  <si>
    <t>GB_EP02</t>
  </si>
  <si>
    <t>W50140145</t>
  </si>
  <si>
    <t>GB_EP03</t>
  </si>
  <si>
    <t>W00089169</t>
  </si>
  <si>
    <t>GB_EP04</t>
  </si>
  <si>
    <t>W00089130</t>
  </si>
  <si>
    <t>GB_EP05</t>
  </si>
  <si>
    <t>W00080831</t>
  </si>
  <si>
    <t>GB_EP06</t>
  </si>
  <si>
    <t>U1049077</t>
  </si>
  <si>
    <t>GB_EP07</t>
  </si>
  <si>
    <t>GB_FF_INBOUND</t>
  </si>
  <si>
    <t>VACCINES</t>
  </si>
  <si>
    <t>AVAXIM, AVAXIM JUNIOR, VERORAB, TYPHIM Vi, STAMARIL, REVAXIS, REPEVAX, MENQUADFI</t>
  </si>
  <si>
    <t>E0549066</t>
  </si>
  <si>
    <t>GB_INBOUND_01</t>
  </si>
  <si>
    <t>Semester</t>
  </si>
  <si>
    <t>GB_RE_COPD_04W50081007DUPIXENT Goal AttainmentNation</t>
  </si>
  <si>
    <t>SUPEMTEK TIVr, EFLUELDA TIV-HD</t>
  </si>
  <si>
    <t>U1049229</t>
  </si>
  <si>
    <t>GB_INBOUND_02</t>
  </si>
  <si>
    <t>U1001846</t>
  </si>
  <si>
    <t>GB_INBOUND_03</t>
  </si>
  <si>
    <t>GB_ONC</t>
  </si>
  <si>
    <t>National Sales Lead</t>
  </si>
  <si>
    <t>W50056863</t>
  </si>
  <si>
    <t>GB_ONC_HEM</t>
  </si>
  <si>
    <t>Sarclisa</t>
  </si>
  <si>
    <t>W50113333</t>
  </si>
  <si>
    <t>GB_ONC_HM01</t>
  </si>
  <si>
    <t>W90010798</t>
  </si>
  <si>
    <t>GB_ONC_HM02</t>
  </si>
  <si>
    <t>W50138242</t>
  </si>
  <si>
    <t>GB_ONC_HM03</t>
  </si>
  <si>
    <t>W50156181</t>
  </si>
  <si>
    <t>GB_ONC_HM04</t>
  </si>
  <si>
    <t>W50188026</t>
  </si>
  <si>
    <t>GB_ONC_HM08</t>
  </si>
  <si>
    <t>GB_RD</t>
  </si>
  <si>
    <t>W00094508</t>
  </si>
  <si>
    <t>GB_RD_DPSM</t>
  </si>
  <si>
    <t>FABRAZYME, CERDELGA, CEREZYME &amp; NEXVIAZYME​-Patient</t>
  </si>
  <si>
    <t>Patient #</t>
  </si>
  <si>
    <t>W50044583</t>
  </si>
  <si>
    <t>GB_RD_FS1</t>
  </si>
  <si>
    <t>FABRAZYME, CERDELGA, CEREZYME, NEXVIAZYME​, Aldurazyme, Myozyme, Xenpozyme</t>
  </si>
  <si>
    <t>W00089740</t>
  </si>
  <si>
    <t>GB_RD_FS2</t>
  </si>
  <si>
    <t>W50169074</t>
  </si>
  <si>
    <t>GB_RD_FS3</t>
  </si>
  <si>
    <t>W50176702</t>
  </si>
  <si>
    <t>GB_RD_FS4</t>
  </si>
  <si>
    <t>GB_FF_COPD</t>
  </si>
  <si>
    <t>W50078650</t>
  </si>
  <si>
    <t>GB_RE_COPD</t>
  </si>
  <si>
    <t>W50193725</t>
  </si>
  <si>
    <t>GB_RE_COPD_01</t>
  </si>
  <si>
    <t>W50195817</t>
  </si>
  <si>
    <t>GB_RE_COPD_02</t>
  </si>
  <si>
    <t>W50193729</t>
  </si>
  <si>
    <t>GB_RE_COPD_03</t>
  </si>
  <si>
    <t>W50081007</t>
  </si>
  <si>
    <t>GB_RE_COPD_04</t>
  </si>
  <si>
    <t>W50191467</t>
  </si>
  <si>
    <t>GB_RE_COPD_05</t>
  </si>
  <si>
    <t>W50191217</t>
  </si>
  <si>
    <t>GB_RE_COPD_06</t>
  </si>
  <si>
    <t>W50193719</t>
  </si>
  <si>
    <t>GB_RE_COPD_07</t>
  </si>
  <si>
    <t>W50193731</t>
  </si>
  <si>
    <t>GB_RE_COPD_08</t>
  </si>
  <si>
    <t>GB_REZ</t>
  </si>
  <si>
    <t>W90120376</t>
  </si>
  <si>
    <t>GB_REZ_M</t>
  </si>
  <si>
    <t>Rezurock</t>
  </si>
  <si>
    <t>W90092653</t>
  </si>
  <si>
    <t>GB_REZ01</t>
  </si>
  <si>
    <t>W00080665</t>
  </si>
  <si>
    <t>GB_REZ02</t>
  </si>
  <si>
    <t>W90022898</t>
  </si>
  <si>
    <t>GB_REZ03</t>
  </si>
  <si>
    <t>GB_FF_VX_VAE</t>
  </si>
  <si>
    <t>EFLUELDA TIV-HD</t>
  </si>
  <si>
    <t>Doses</t>
  </si>
  <si>
    <t>E0533896</t>
  </si>
  <si>
    <t>GB_VAE_03</t>
  </si>
  <si>
    <t>SUPEMTEK TIVr</t>
  </si>
  <si>
    <t>GB_VAE_03_TEMP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</si>
</sst>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;\-[$£-809]#,##0.00"/>
    <numFmt numFmtId="165" formatCode="[$£-809]#,##0.0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sz val="16.0"/>
      <color rgb="FFFFFFFF"/>
      <name val="Calibri"/>
    </font>
    <font>
      <sz val="11.0"/>
      <color rgb="FFFFFFFF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3" fillId="2" fontId="2" numFmtId="9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3" fillId="2" fontId="2" numFmtId="164" xfId="0" applyAlignment="1" applyBorder="1" applyFont="1" applyNumberFormat="1">
      <alignment horizontal="center" vertical="bottom"/>
    </xf>
    <xf borderId="3" fillId="2" fontId="2" numFmtId="165" xfId="0" applyAlignment="1" applyBorder="1" applyFont="1" applyNumberFormat="1">
      <alignment horizontal="center" vertical="bottom"/>
    </xf>
    <xf borderId="4" fillId="3" fontId="4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vertical="bottom"/>
    </xf>
    <xf borderId="3" fillId="4" fontId="1" numFmtId="9" xfId="0" applyAlignment="1" applyBorder="1" applyFont="1" applyNumberFormat="1">
      <alignment vertical="bottom"/>
    </xf>
    <xf borderId="5" fillId="4" fontId="1" numFmtId="9" xfId="0" applyAlignment="1" applyBorder="1" applyFont="1" applyNumberFormat="1">
      <alignment horizontal="center" vertical="bottom"/>
    </xf>
    <xf borderId="3" fillId="4" fontId="1" numFmtId="9" xfId="0" applyAlignment="1" applyBorder="1" applyFont="1" applyNumberFormat="1">
      <alignment horizontal="center" vertical="bottom"/>
    </xf>
    <xf borderId="3" fillId="4" fontId="1" numFmtId="164" xfId="0" applyAlignment="1" applyBorder="1" applyFont="1" applyNumberFormat="1">
      <alignment horizontal="center" vertical="bottom"/>
    </xf>
    <xf borderId="3" fillId="4" fontId="1" numFmtId="165" xfId="0" applyAlignment="1" applyBorder="1" applyFont="1" applyNumberFormat="1">
      <alignment horizontal="center" vertical="bottom"/>
    </xf>
    <xf borderId="6" fillId="5" fontId="1" numFmtId="0" xfId="0" applyAlignment="1" applyBorder="1" applyFill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1" numFmtId="9" xfId="0" applyAlignment="1" applyBorder="1" applyFont="1" applyNumberFormat="1">
      <alignment horizontal="center" vertical="bottom"/>
    </xf>
    <xf borderId="5" fillId="5" fontId="1" numFmtId="9" xfId="0" applyAlignment="1" applyBorder="1" applyFont="1" applyNumberFormat="1">
      <alignment horizontal="center" vertical="bottom"/>
    </xf>
    <xf borderId="1" fillId="5" fontId="1" numFmtId="9" xfId="0" applyAlignment="1" applyBorder="1" applyFont="1" applyNumberFormat="1">
      <alignment vertical="bottom"/>
    </xf>
    <xf borderId="1" fillId="5" fontId="1" numFmtId="164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horizontal="center" vertical="bottom"/>
    </xf>
    <xf borderId="6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vertical="bottom"/>
    </xf>
    <xf borderId="1" fillId="4" fontId="1" numFmtId="9" xfId="0" applyAlignment="1" applyBorder="1" applyFont="1" applyNumberFormat="1">
      <alignment horizontal="center" vertical="bottom"/>
    </xf>
    <xf borderId="1" fillId="4" fontId="1" numFmtId="9" xfId="0" applyAlignment="1" applyBorder="1" applyFont="1" applyNumberFormat="1">
      <alignment vertical="bottom"/>
    </xf>
    <xf borderId="1" fillId="4" fontId="1" numFmtId="164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6" fillId="5" fontId="1" numFmtId="0" xfId="0" applyAlignment="1" applyBorder="1" applyFont="1">
      <alignment vertical="bottom"/>
    </xf>
    <xf borderId="5" fillId="5" fontId="1" numFmtId="9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IC Output - HU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Z108" displayName="Table_1" name="Table_1" id="1">
  <tableColumns count="26">
    <tableColumn name="CountryCode" id="1"/>
    <tableColumn name="TeamId" id="2"/>
    <tableColumn name="BUId" id="3"/>
    <tableColumn name="Level" id="4"/>
    <tableColumn name="Role" id="5"/>
    <tableColumn name="ProductId" id="6"/>
    <tableColumn name="ChannelId" id="7"/>
    <tableColumn name="DataType" id="8"/>
    <tableColumn name="PlanType" id="9"/>
    <tableColumn name="EmployeeId" id="10"/>
    <tableColumn name="WorkUnitId" id="11"/>
    <tableColumn name="DataPeriod" id="12"/>
    <tableColumn name="LevelOfMeasurement" id="13"/>
    <tableColumn name="Sales" id="14"/>
    <tableColumn name="Goals" id="15"/>
    <tableColumn name="Attainment" id="16"/>
    <tableColumn name="Draw Multiplier" id="17"/>
    <tableColumn name="Percent To Target" id="18"/>
    <tableColumn name="Component Weight" id="19"/>
    <tableColumn name="Target Pay" id="20"/>
    <tableColumn name="New Hire Eligibilty" id="21"/>
    <tableColumn name="Performance Eligibility" id="22"/>
    <tableColumn name="IC Eligibility" id="23"/>
    <tableColumn name="Pre Eligibilty Earnings" id="24"/>
    <tableColumn name="Previous Cycle Payout" id="25"/>
    <tableColumn name="Payout" id="26"/>
  </tableColumns>
  <tableStyleInfo name="IC Output - HU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  <c r="AH1" s="2"/>
      <c r="AI1" s="2"/>
      <c r="AJ1" s="2"/>
      <c r="AK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</v>
      </c>
      <c r="Q2" s="6" t="s">
        <v>16</v>
      </c>
      <c r="R2" s="5" t="s">
        <v>17</v>
      </c>
      <c r="S2" s="5" t="s">
        <v>18</v>
      </c>
      <c r="T2" s="7" t="s">
        <v>19</v>
      </c>
      <c r="U2" s="5" t="s">
        <v>20</v>
      </c>
      <c r="V2" s="5" t="s">
        <v>21</v>
      </c>
      <c r="W2" s="5" t="s">
        <v>22</v>
      </c>
      <c r="X2" s="7" t="s">
        <v>23</v>
      </c>
      <c r="Y2" s="4" t="s">
        <v>24</v>
      </c>
      <c r="Z2" s="8" t="s">
        <v>25</v>
      </c>
      <c r="AA2" s="2"/>
      <c r="AB2" s="2"/>
      <c r="AC2" s="2"/>
      <c r="AD2" s="2"/>
      <c r="AE2" s="2"/>
      <c r="AF2" s="2"/>
      <c r="AG2" s="9" t="s">
        <v>26</v>
      </c>
      <c r="AH2" s="2"/>
      <c r="AI2" s="2"/>
      <c r="AJ2" s="2"/>
      <c r="AK2" s="2"/>
    </row>
    <row r="3">
      <c r="A3" s="10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30</v>
      </c>
      <c r="N3" s="12" t="s">
        <v>39</v>
      </c>
      <c r="O3" s="12" t="s">
        <v>39</v>
      </c>
      <c r="P3" s="13" t="s">
        <v>39</v>
      </c>
      <c r="Q3" s="14">
        <v>0.3333333333333333</v>
      </c>
      <c r="R3" s="13" t="s">
        <v>39</v>
      </c>
      <c r="S3" s="15">
        <v>1.0</v>
      </c>
      <c r="T3" s="16">
        <v>4877.57</v>
      </c>
      <c r="U3" s="15">
        <v>0.0</v>
      </c>
      <c r="V3" s="15">
        <v>1.0</v>
      </c>
      <c r="W3" s="15">
        <v>1.0</v>
      </c>
      <c r="X3" s="16">
        <v>929.41145196</v>
      </c>
      <c r="Y3" s="12"/>
      <c r="Z3" s="17">
        <v>929.41145196</v>
      </c>
      <c r="AA3" s="2"/>
      <c r="AB3" s="2"/>
      <c r="AC3" s="2"/>
      <c r="AD3" s="2"/>
      <c r="AE3" s="2"/>
      <c r="AF3" s="2"/>
      <c r="AG3" s="2" t="str">
        <f>'IC Output - HUB'!$N3&amp;'IC Output - HUB'!$M3&amp;'IC Output - HUB'!$I3&amp;'IC Output - HUB'!$L3&amp;'IC Output - HUB'!$P3</f>
        <v>NationAverage of Underlying TerrsTrimester</v>
      </c>
      <c r="AH3" s="2"/>
      <c r="AI3" s="2"/>
      <c r="AJ3" s="2"/>
      <c r="AK3" s="2"/>
    </row>
    <row r="4">
      <c r="A4" s="18" t="s">
        <v>27</v>
      </c>
      <c r="B4" s="19" t="s">
        <v>28</v>
      </c>
      <c r="C4" s="19" t="s">
        <v>29</v>
      </c>
      <c r="D4" s="19" t="s">
        <v>40</v>
      </c>
      <c r="E4" s="19" t="s">
        <v>41</v>
      </c>
      <c r="F4" s="19" t="s">
        <v>42</v>
      </c>
      <c r="G4" s="19" t="s">
        <v>33</v>
      </c>
      <c r="H4" s="19" t="s">
        <v>43</v>
      </c>
      <c r="I4" s="19" t="s">
        <v>44</v>
      </c>
      <c r="J4" s="19" t="s">
        <v>45</v>
      </c>
      <c r="K4" s="19" t="s">
        <v>46</v>
      </c>
      <c r="L4" s="19" t="s">
        <v>38</v>
      </c>
      <c r="M4" s="19" t="s">
        <v>40</v>
      </c>
      <c r="N4" s="20" t="s">
        <v>39</v>
      </c>
      <c r="O4" s="20" t="s">
        <v>39</v>
      </c>
      <c r="P4" s="21">
        <v>0.0</v>
      </c>
      <c r="Q4" s="22">
        <v>0.3333333333333333</v>
      </c>
      <c r="R4" s="23" t="s">
        <v>39</v>
      </c>
      <c r="S4" s="21">
        <v>0.4</v>
      </c>
      <c r="T4" s="24">
        <v>1951.03</v>
      </c>
      <c r="U4" s="21">
        <v>0.0</v>
      </c>
      <c r="V4" s="21">
        <v>1.0</v>
      </c>
      <c r="W4" s="21">
        <v>1.0</v>
      </c>
      <c r="X4" s="24">
        <v>0.0</v>
      </c>
      <c r="Y4" s="20"/>
      <c r="Z4" s="25">
        <v>0.0</v>
      </c>
      <c r="AA4" s="2"/>
      <c r="AB4" s="2"/>
      <c r="AC4" s="2"/>
      <c r="AD4" s="2"/>
      <c r="AE4" s="2"/>
      <c r="AF4" s="2"/>
      <c r="AG4" s="2" t="str">
        <f>'IC Output - HUB'!$N4&amp;'IC Output - HUB'!$M4&amp;'IC Output - HUB'!$I4&amp;'IC Output - HUB'!$L4&amp;'IC Output - HUB'!$P4</f>
        <v>TerritoryMBOTrimester0</v>
      </c>
      <c r="AH4" s="2"/>
      <c r="AI4" s="2"/>
      <c r="AJ4" s="2"/>
      <c r="AK4" s="2"/>
    </row>
    <row r="5">
      <c r="A5" s="26" t="s">
        <v>27</v>
      </c>
      <c r="B5" s="27" t="s">
        <v>28</v>
      </c>
      <c r="C5" s="27" t="s">
        <v>29</v>
      </c>
      <c r="D5" s="27" t="s">
        <v>40</v>
      </c>
      <c r="E5" s="27" t="s">
        <v>41</v>
      </c>
      <c r="F5" s="27" t="s">
        <v>42</v>
      </c>
      <c r="G5" s="27" t="s">
        <v>33</v>
      </c>
      <c r="H5" s="27" t="s">
        <v>43</v>
      </c>
      <c r="I5" s="27" t="s">
        <v>44</v>
      </c>
      <c r="J5" s="27" t="s">
        <v>45</v>
      </c>
      <c r="K5" s="27" t="s">
        <v>46</v>
      </c>
      <c r="L5" s="27" t="s">
        <v>38</v>
      </c>
      <c r="M5" s="27" t="s">
        <v>40</v>
      </c>
      <c r="N5" s="28" t="s">
        <v>39</v>
      </c>
      <c r="O5" s="28" t="s">
        <v>39</v>
      </c>
      <c r="P5" s="29">
        <v>0.0</v>
      </c>
      <c r="Q5" s="14">
        <v>0.3333333333333333</v>
      </c>
      <c r="R5" s="30" t="s">
        <v>39</v>
      </c>
      <c r="S5" s="29">
        <v>0.4</v>
      </c>
      <c r="T5" s="31">
        <v>1951.03</v>
      </c>
      <c r="U5" s="29">
        <v>0.0</v>
      </c>
      <c r="V5" s="29">
        <v>1.0</v>
      </c>
      <c r="W5" s="29">
        <v>1.0</v>
      </c>
      <c r="X5" s="31">
        <v>0.0</v>
      </c>
      <c r="Y5" s="28"/>
      <c r="Z5" s="32">
        <v>0.0</v>
      </c>
      <c r="AA5" s="2"/>
      <c r="AB5" s="2"/>
      <c r="AC5" s="2"/>
      <c r="AD5" s="2"/>
      <c r="AE5" s="2"/>
      <c r="AF5" s="2"/>
      <c r="AG5" s="2" t="str">
        <f>'IC Output - HUB'!$N5&amp;'IC Output - HUB'!$M5&amp;'IC Output - HUB'!$I5&amp;'IC Output - HUB'!$L5&amp;'IC Output - HUB'!$P5</f>
        <v>TerritoryMBOTrimester0</v>
      </c>
      <c r="AH5" s="2"/>
      <c r="AI5" s="2"/>
      <c r="AJ5" s="2"/>
      <c r="AK5" s="2"/>
    </row>
    <row r="6">
      <c r="A6" s="18" t="s">
        <v>27</v>
      </c>
      <c r="B6" s="19" t="s">
        <v>28</v>
      </c>
      <c r="C6" s="19" t="s">
        <v>29</v>
      </c>
      <c r="D6" s="19" t="s">
        <v>40</v>
      </c>
      <c r="E6" s="19" t="s">
        <v>41</v>
      </c>
      <c r="F6" s="19" t="s">
        <v>42</v>
      </c>
      <c r="G6" s="19" t="s">
        <v>33</v>
      </c>
      <c r="H6" s="19" t="s">
        <v>43</v>
      </c>
      <c r="I6" s="19" t="s">
        <v>44</v>
      </c>
      <c r="J6" s="19" t="s">
        <v>45</v>
      </c>
      <c r="K6" s="19" t="s">
        <v>46</v>
      </c>
      <c r="L6" s="19" t="s">
        <v>38</v>
      </c>
      <c r="M6" s="19" t="s">
        <v>40</v>
      </c>
      <c r="N6" s="20" t="s">
        <v>39</v>
      </c>
      <c r="O6" s="20" t="s">
        <v>39</v>
      </c>
      <c r="P6" s="21">
        <v>0.0</v>
      </c>
      <c r="Q6" s="22">
        <v>0.3333333333333333</v>
      </c>
      <c r="R6" s="23" t="s">
        <v>39</v>
      </c>
      <c r="S6" s="21">
        <v>0.2</v>
      </c>
      <c r="T6" s="24">
        <v>975.51</v>
      </c>
      <c r="U6" s="21">
        <v>0.0</v>
      </c>
      <c r="V6" s="21">
        <v>1.0</v>
      </c>
      <c r="W6" s="21">
        <v>1.0</v>
      </c>
      <c r="X6" s="24">
        <v>0.0</v>
      </c>
      <c r="Y6" s="20"/>
      <c r="Z6" s="25">
        <v>0.0</v>
      </c>
      <c r="AA6" s="2"/>
      <c r="AB6" s="2"/>
      <c r="AC6" s="2"/>
      <c r="AD6" s="2"/>
      <c r="AE6" s="2"/>
      <c r="AF6" s="2"/>
      <c r="AG6" s="2" t="str">
        <f>'IC Output - HUB'!$N6&amp;'IC Output - HUB'!$M6&amp;'IC Output - HUB'!$I6&amp;'IC Output - HUB'!$L6&amp;'IC Output - HUB'!$P6</f>
        <v>TerritoryMBOTrimester0</v>
      </c>
      <c r="AH6" s="2"/>
      <c r="AI6" s="2"/>
      <c r="AJ6" s="2"/>
      <c r="AK6" s="2"/>
    </row>
    <row r="7">
      <c r="A7" s="26" t="s">
        <v>27</v>
      </c>
      <c r="B7" s="27" t="s">
        <v>28</v>
      </c>
      <c r="C7" s="27" t="s">
        <v>29</v>
      </c>
      <c r="D7" s="27" t="s">
        <v>40</v>
      </c>
      <c r="E7" s="27" t="s">
        <v>41</v>
      </c>
      <c r="F7" s="27" t="s">
        <v>42</v>
      </c>
      <c r="G7" s="27" t="s">
        <v>33</v>
      </c>
      <c r="H7" s="27" t="s">
        <v>43</v>
      </c>
      <c r="I7" s="27" t="s">
        <v>44</v>
      </c>
      <c r="J7" s="27" t="s">
        <v>47</v>
      </c>
      <c r="K7" s="27" t="s">
        <v>48</v>
      </c>
      <c r="L7" s="27" t="s">
        <v>38</v>
      </c>
      <c r="M7" s="27" t="s">
        <v>40</v>
      </c>
      <c r="N7" s="28" t="s">
        <v>39</v>
      </c>
      <c r="O7" s="28" t="s">
        <v>39</v>
      </c>
      <c r="P7" s="29">
        <v>0.0</v>
      </c>
      <c r="Q7" s="14">
        <v>0.3333333333333333</v>
      </c>
      <c r="R7" s="30" t="s">
        <v>39</v>
      </c>
      <c r="S7" s="29">
        <v>0.4</v>
      </c>
      <c r="T7" s="31">
        <v>1951.03</v>
      </c>
      <c r="U7" s="29">
        <v>0.0</v>
      </c>
      <c r="V7" s="29">
        <v>1.0</v>
      </c>
      <c r="W7" s="29">
        <v>1.0</v>
      </c>
      <c r="X7" s="31">
        <v>0.0</v>
      </c>
      <c r="Y7" s="28"/>
      <c r="Z7" s="32">
        <v>0.0</v>
      </c>
      <c r="AA7" s="2"/>
      <c r="AB7" s="2"/>
      <c r="AC7" s="2"/>
      <c r="AD7" s="2"/>
      <c r="AE7" s="2"/>
      <c r="AF7" s="2"/>
      <c r="AG7" s="2" t="str">
        <f>'IC Output - HUB'!$N7&amp;'IC Output - HUB'!$M7&amp;'IC Output - HUB'!$I7&amp;'IC Output - HUB'!$L7&amp;'IC Output - HUB'!$P7</f>
        <v>TerritoryMBOTrimester0</v>
      </c>
      <c r="AH7" s="2"/>
      <c r="AI7" s="2"/>
      <c r="AJ7" s="2"/>
      <c r="AK7" s="2"/>
    </row>
    <row r="8">
      <c r="A8" s="18" t="s">
        <v>27</v>
      </c>
      <c r="B8" s="19" t="s">
        <v>28</v>
      </c>
      <c r="C8" s="19" t="s">
        <v>29</v>
      </c>
      <c r="D8" s="19" t="s">
        <v>40</v>
      </c>
      <c r="E8" s="19" t="s">
        <v>41</v>
      </c>
      <c r="F8" s="19" t="s">
        <v>42</v>
      </c>
      <c r="G8" s="19" t="s">
        <v>33</v>
      </c>
      <c r="H8" s="19" t="s">
        <v>43</v>
      </c>
      <c r="I8" s="19" t="s">
        <v>44</v>
      </c>
      <c r="J8" s="19" t="s">
        <v>47</v>
      </c>
      <c r="K8" s="19" t="s">
        <v>48</v>
      </c>
      <c r="L8" s="19" t="s">
        <v>38</v>
      </c>
      <c r="M8" s="19" t="s">
        <v>40</v>
      </c>
      <c r="N8" s="20" t="s">
        <v>39</v>
      </c>
      <c r="O8" s="20" t="s">
        <v>39</v>
      </c>
      <c r="P8" s="21">
        <v>0.0</v>
      </c>
      <c r="Q8" s="22">
        <v>0.3333333333333333</v>
      </c>
      <c r="R8" s="23" t="s">
        <v>39</v>
      </c>
      <c r="S8" s="21">
        <v>0.4</v>
      </c>
      <c r="T8" s="24">
        <v>1951.03</v>
      </c>
      <c r="U8" s="21">
        <v>0.0</v>
      </c>
      <c r="V8" s="21">
        <v>1.0</v>
      </c>
      <c r="W8" s="21">
        <v>1.0</v>
      </c>
      <c r="X8" s="24">
        <v>0.0</v>
      </c>
      <c r="Y8" s="20"/>
      <c r="Z8" s="25">
        <v>0.0</v>
      </c>
      <c r="AA8" s="2"/>
      <c r="AB8" s="2"/>
      <c r="AC8" s="2"/>
      <c r="AD8" s="2"/>
      <c r="AE8" s="2"/>
      <c r="AF8" s="2"/>
      <c r="AG8" s="2" t="str">
        <f>'IC Output - HUB'!$N8&amp;'IC Output - HUB'!$M8&amp;'IC Output - HUB'!$I8&amp;'IC Output - HUB'!$L8&amp;'IC Output - HUB'!$P8</f>
        <v>TerritoryMBOTrimester0</v>
      </c>
      <c r="AH8" s="2"/>
      <c r="AI8" s="2"/>
      <c r="AJ8" s="2"/>
      <c r="AK8" s="2"/>
    </row>
    <row r="9">
      <c r="A9" s="26" t="s">
        <v>27</v>
      </c>
      <c r="B9" s="27" t="s">
        <v>28</v>
      </c>
      <c r="C9" s="27" t="s">
        <v>29</v>
      </c>
      <c r="D9" s="27" t="s">
        <v>40</v>
      </c>
      <c r="E9" s="27" t="s">
        <v>41</v>
      </c>
      <c r="F9" s="27" t="s">
        <v>42</v>
      </c>
      <c r="G9" s="27" t="s">
        <v>33</v>
      </c>
      <c r="H9" s="27" t="s">
        <v>43</v>
      </c>
      <c r="I9" s="27" t="s">
        <v>44</v>
      </c>
      <c r="J9" s="27" t="s">
        <v>47</v>
      </c>
      <c r="K9" s="27" t="s">
        <v>48</v>
      </c>
      <c r="L9" s="27" t="s">
        <v>38</v>
      </c>
      <c r="M9" s="27" t="s">
        <v>40</v>
      </c>
      <c r="N9" s="28" t="s">
        <v>39</v>
      </c>
      <c r="O9" s="28" t="s">
        <v>39</v>
      </c>
      <c r="P9" s="29">
        <v>0.0</v>
      </c>
      <c r="Q9" s="14">
        <v>0.3333333333333333</v>
      </c>
      <c r="R9" s="30" t="s">
        <v>39</v>
      </c>
      <c r="S9" s="29">
        <v>0.2</v>
      </c>
      <c r="T9" s="31">
        <v>975.51</v>
      </c>
      <c r="U9" s="29">
        <v>0.0</v>
      </c>
      <c r="V9" s="29">
        <v>1.0</v>
      </c>
      <c r="W9" s="29">
        <v>1.0</v>
      </c>
      <c r="X9" s="31">
        <v>0.0</v>
      </c>
      <c r="Y9" s="28"/>
      <c r="Z9" s="32">
        <v>0.0</v>
      </c>
      <c r="AA9" s="2"/>
      <c r="AB9" s="2"/>
      <c r="AC9" s="2"/>
      <c r="AD9" s="2"/>
      <c r="AE9" s="2"/>
      <c r="AF9" s="2"/>
      <c r="AG9" s="2" t="str">
        <f>'IC Output - HUB'!$N9&amp;'IC Output - HUB'!$M9&amp;'IC Output - HUB'!$I9&amp;'IC Output - HUB'!$L9&amp;'IC Output - HUB'!$P9</f>
        <v>TerritoryMBOTrimester0</v>
      </c>
      <c r="AH9" s="2"/>
      <c r="AI9" s="2"/>
      <c r="AJ9" s="2"/>
      <c r="AK9" s="2"/>
    </row>
    <row r="10">
      <c r="A10" s="18" t="s">
        <v>27</v>
      </c>
      <c r="B10" s="19" t="s">
        <v>28</v>
      </c>
      <c r="C10" s="19" t="s">
        <v>29</v>
      </c>
      <c r="D10" s="19" t="s">
        <v>40</v>
      </c>
      <c r="E10" s="19" t="s">
        <v>41</v>
      </c>
      <c r="F10" s="19" t="s">
        <v>42</v>
      </c>
      <c r="G10" s="19" t="s">
        <v>33</v>
      </c>
      <c r="H10" s="19" t="s">
        <v>43</v>
      </c>
      <c r="I10" s="19" t="s">
        <v>44</v>
      </c>
      <c r="J10" s="19" t="s">
        <v>49</v>
      </c>
      <c r="K10" s="19" t="s">
        <v>50</v>
      </c>
      <c r="L10" s="19" t="s">
        <v>38</v>
      </c>
      <c r="M10" s="19" t="s">
        <v>40</v>
      </c>
      <c r="N10" s="20" t="s">
        <v>39</v>
      </c>
      <c r="O10" s="20" t="s">
        <v>39</v>
      </c>
      <c r="P10" s="21">
        <v>0.0</v>
      </c>
      <c r="Q10" s="22">
        <v>0.3333333333333333</v>
      </c>
      <c r="R10" s="23" t="s">
        <v>39</v>
      </c>
      <c r="S10" s="21">
        <v>0.4</v>
      </c>
      <c r="T10" s="24">
        <v>1951.03</v>
      </c>
      <c r="U10" s="21">
        <v>0.0</v>
      </c>
      <c r="V10" s="21">
        <v>1.0</v>
      </c>
      <c r="W10" s="21">
        <v>1.0</v>
      </c>
      <c r="X10" s="24">
        <v>0.0</v>
      </c>
      <c r="Y10" s="20"/>
      <c r="Z10" s="25">
        <v>0.0</v>
      </c>
      <c r="AA10" s="2"/>
      <c r="AB10" s="2"/>
      <c r="AC10" s="2"/>
      <c r="AD10" s="2"/>
      <c r="AE10" s="2"/>
      <c r="AF10" s="2"/>
      <c r="AG10" s="2" t="str">
        <f>'IC Output - HUB'!$N10&amp;'IC Output - HUB'!$M10&amp;'IC Output - HUB'!$I10&amp;'IC Output - HUB'!$L10&amp;'IC Output - HUB'!$P10</f>
        <v>TerritoryMBOTrimester0</v>
      </c>
      <c r="AH10" s="2"/>
      <c r="AI10" s="2"/>
      <c r="AJ10" s="2"/>
      <c r="AK10" s="2"/>
    </row>
    <row r="11">
      <c r="A11" s="26" t="s">
        <v>27</v>
      </c>
      <c r="B11" s="27" t="s">
        <v>28</v>
      </c>
      <c r="C11" s="27" t="s">
        <v>29</v>
      </c>
      <c r="D11" s="27" t="s">
        <v>40</v>
      </c>
      <c r="E11" s="27" t="s">
        <v>41</v>
      </c>
      <c r="F11" s="27" t="s">
        <v>42</v>
      </c>
      <c r="G11" s="27" t="s">
        <v>33</v>
      </c>
      <c r="H11" s="27" t="s">
        <v>43</v>
      </c>
      <c r="I11" s="27" t="s">
        <v>44</v>
      </c>
      <c r="J11" s="27" t="s">
        <v>49</v>
      </c>
      <c r="K11" s="27" t="s">
        <v>50</v>
      </c>
      <c r="L11" s="27" t="s">
        <v>38</v>
      </c>
      <c r="M11" s="27" t="s">
        <v>40</v>
      </c>
      <c r="N11" s="28" t="s">
        <v>39</v>
      </c>
      <c r="O11" s="28" t="s">
        <v>39</v>
      </c>
      <c r="P11" s="29">
        <v>0.0</v>
      </c>
      <c r="Q11" s="14">
        <v>0.3333333333333333</v>
      </c>
      <c r="R11" s="30" t="s">
        <v>39</v>
      </c>
      <c r="S11" s="29">
        <v>0.4</v>
      </c>
      <c r="T11" s="31">
        <v>1951.03</v>
      </c>
      <c r="U11" s="29">
        <v>0.0</v>
      </c>
      <c r="V11" s="29">
        <v>1.0</v>
      </c>
      <c r="W11" s="29">
        <v>1.0</v>
      </c>
      <c r="X11" s="31">
        <v>0.0</v>
      </c>
      <c r="Y11" s="28"/>
      <c r="Z11" s="32">
        <v>0.0</v>
      </c>
      <c r="AA11" s="2"/>
      <c r="AB11" s="2"/>
      <c r="AC11" s="2"/>
      <c r="AD11" s="2"/>
      <c r="AE11" s="2"/>
      <c r="AF11" s="2"/>
      <c r="AG11" s="2" t="str">
        <f>'IC Output - HUB'!$N11&amp;'IC Output - HUB'!$M11&amp;'IC Output - HUB'!$I11&amp;'IC Output - HUB'!$L11&amp;'IC Output - HUB'!$P11</f>
        <v>TerritoryMBOTrimester0</v>
      </c>
      <c r="AH11" s="2"/>
      <c r="AI11" s="2"/>
      <c r="AJ11" s="2"/>
      <c r="AK11" s="2"/>
    </row>
    <row r="12">
      <c r="A12" s="18" t="s">
        <v>27</v>
      </c>
      <c r="B12" s="19" t="s">
        <v>28</v>
      </c>
      <c r="C12" s="19" t="s">
        <v>29</v>
      </c>
      <c r="D12" s="19" t="s">
        <v>40</v>
      </c>
      <c r="E12" s="19" t="s">
        <v>41</v>
      </c>
      <c r="F12" s="19" t="s">
        <v>42</v>
      </c>
      <c r="G12" s="19" t="s">
        <v>33</v>
      </c>
      <c r="H12" s="19" t="s">
        <v>43</v>
      </c>
      <c r="I12" s="19" t="s">
        <v>44</v>
      </c>
      <c r="J12" s="19" t="s">
        <v>49</v>
      </c>
      <c r="K12" s="19" t="s">
        <v>50</v>
      </c>
      <c r="L12" s="19" t="s">
        <v>38</v>
      </c>
      <c r="M12" s="19" t="s">
        <v>40</v>
      </c>
      <c r="N12" s="20" t="s">
        <v>39</v>
      </c>
      <c r="O12" s="20" t="s">
        <v>39</v>
      </c>
      <c r="P12" s="21">
        <v>0.0</v>
      </c>
      <c r="Q12" s="22">
        <v>0.3333333333333333</v>
      </c>
      <c r="R12" s="23" t="s">
        <v>39</v>
      </c>
      <c r="S12" s="21">
        <v>0.2</v>
      </c>
      <c r="T12" s="24">
        <v>975.51</v>
      </c>
      <c r="U12" s="21">
        <v>0.0</v>
      </c>
      <c r="V12" s="21">
        <v>1.0</v>
      </c>
      <c r="W12" s="21">
        <v>1.0</v>
      </c>
      <c r="X12" s="24">
        <v>0.0</v>
      </c>
      <c r="Y12" s="20"/>
      <c r="Z12" s="25">
        <v>0.0</v>
      </c>
      <c r="AA12" s="2"/>
      <c r="AB12" s="2"/>
      <c r="AC12" s="2"/>
      <c r="AD12" s="2"/>
      <c r="AE12" s="2"/>
      <c r="AF12" s="2"/>
      <c r="AG12" s="2" t="str">
        <f>'IC Output - HUB'!$N12&amp;'IC Output - HUB'!$M12&amp;'IC Output - HUB'!$I12&amp;'IC Output - HUB'!$L12&amp;'IC Output - HUB'!$P12</f>
        <v>TerritoryMBOTrimester0</v>
      </c>
      <c r="AH12" s="2"/>
      <c r="AI12" s="2"/>
      <c r="AJ12" s="2"/>
      <c r="AK12" s="2"/>
    </row>
    <row r="13">
      <c r="A13" s="26" t="s">
        <v>27</v>
      </c>
      <c r="B13" s="27" t="s">
        <v>28</v>
      </c>
      <c r="C13" s="27" t="s">
        <v>29</v>
      </c>
      <c r="D13" s="27" t="s">
        <v>40</v>
      </c>
      <c r="E13" s="27" t="s">
        <v>41</v>
      </c>
      <c r="F13" s="27" t="s">
        <v>42</v>
      </c>
      <c r="G13" s="27" t="s">
        <v>33</v>
      </c>
      <c r="H13" s="27" t="s">
        <v>43</v>
      </c>
      <c r="I13" s="27" t="s">
        <v>44</v>
      </c>
      <c r="J13" s="27" t="s">
        <v>51</v>
      </c>
      <c r="K13" s="27" t="s">
        <v>52</v>
      </c>
      <c r="L13" s="27" t="s">
        <v>38</v>
      </c>
      <c r="M13" s="27" t="s">
        <v>40</v>
      </c>
      <c r="N13" s="28" t="s">
        <v>39</v>
      </c>
      <c r="O13" s="28" t="s">
        <v>39</v>
      </c>
      <c r="P13" s="29">
        <v>0.0</v>
      </c>
      <c r="Q13" s="14">
        <v>0.3333333333333333</v>
      </c>
      <c r="R13" s="30" t="s">
        <v>39</v>
      </c>
      <c r="S13" s="29">
        <v>0.4</v>
      </c>
      <c r="T13" s="31">
        <v>1951.03</v>
      </c>
      <c r="U13" s="29">
        <v>0.0</v>
      </c>
      <c r="V13" s="29">
        <v>1.0</v>
      </c>
      <c r="W13" s="29">
        <v>1.0</v>
      </c>
      <c r="X13" s="31">
        <v>0.0</v>
      </c>
      <c r="Y13" s="28"/>
      <c r="Z13" s="32">
        <v>0.0</v>
      </c>
      <c r="AA13" s="2"/>
      <c r="AB13" s="2"/>
      <c r="AC13" s="2"/>
      <c r="AD13" s="2"/>
      <c r="AE13" s="2"/>
      <c r="AF13" s="2"/>
      <c r="AG13" s="2" t="str">
        <f>'IC Output - HUB'!$N13&amp;'IC Output - HUB'!$M13&amp;'IC Output - HUB'!$I13&amp;'IC Output - HUB'!$L13&amp;'IC Output - HUB'!$P13</f>
        <v>TerritoryMBOTrimester0</v>
      </c>
      <c r="AH13" s="2"/>
      <c r="AI13" s="2"/>
      <c r="AJ13" s="2"/>
      <c r="AK13" s="2"/>
    </row>
    <row r="14">
      <c r="A14" s="18" t="s">
        <v>27</v>
      </c>
      <c r="B14" s="19" t="s">
        <v>28</v>
      </c>
      <c r="C14" s="19" t="s">
        <v>29</v>
      </c>
      <c r="D14" s="19" t="s">
        <v>40</v>
      </c>
      <c r="E14" s="19" t="s">
        <v>41</v>
      </c>
      <c r="F14" s="19" t="s">
        <v>42</v>
      </c>
      <c r="G14" s="19" t="s">
        <v>33</v>
      </c>
      <c r="H14" s="19" t="s">
        <v>43</v>
      </c>
      <c r="I14" s="19" t="s">
        <v>44</v>
      </c>
      <c r="J14" s="19" t="s">
        <v>51</v>
      </c>
      <c r="K14" s="19" t="s">
        <v>52</v>
      </c>
      <c r="L14" s="19" t="s">
        <v>38</v>
      </c>
      <c r="M14" s="19" t="s">
        <v>40</v>
      </c>
      <c r="N14" s="20" t="s">
        <v>39</v>
      </c>
      <c r="O14" s="20" t="s">
        <v>39</v>
      </c>
      <c r="P14" s="21">
        <v>0.0</v>
      </c>
      <c r="Q14" s="22">
        <v>0.3333333333333333</v>
      </c>
      <c r="R14" s="23" t="s">
        <v>39</v>
      </c>
      <c r="S14" s="21">
        <v>0.4</v>
      </c>
      <c r="T14" s="24">
        <v>1951.03</v>
      </c>
      <c r="U14" s="21">
        <v>0.0</v>
      </c>
      <c r="V14" s="21">
        <v>1.0</v>
      </c>
      <c r="W14" s="21">
        <v>1.0</v>
      </c>
      <c r="X14" s="24">
        <v>0.0</v>
      </c>
      <c r="Y14" s="20"/>
      <c r="Z14" s="25">
        <v>0.0</v>
      </c>
      <c r="AA14" s="2"/>
      <c r="AB14" s="2"/>
      <c r="AC14" s="2"/>
      <c r="AD14" s="2"/>
      <c r="AE14" s="2"/>
      <c r="AF14" s="2"/>
      <c r="AG14" s="2" t="str">
        <f>'IC Output - HUB'!$N14&amp;'IC Output - HUB'!$M14&amp;'IC Output - HUB'!$I14&amp;'IC Output - HUB'!$L14&amp;'IC Output - HUB'!$P14</f>
        <v>TerritoryMBOTrimester0</v>
      </c>
      <c r="AH14" s="2"/>
      <c r="AI14" s="2"/>
      <c r="AJ14" s="2"/>
      <c r="AK14" s="2"/>
    </row>
    <row r="15">
      <c r="A15" s="26" t="s">
        <v>27</v>
      </c>
      <c r="B15" s="27" t="s">
        <v>28</v>
      </c>
      <c r="C15" s="27" t="s">
        <v>29</v>
      </c>
      <c r="D15" s="27" t="s">
        <v>40</v>
      </c>
      <c r="E15" s="27" t="s">
        <v>41</v>
      </c>
      <c r="F15" s="27" t="s">
        <v>42</v>
      </c>
      <c r="G15" s="27" t="s">
        <v>33</v>
      </c>
      <c r="H15" s="27" t="s">
        <v>43</v>
      </c>
      <c r="I15" s="27" t="s">
        <v>44</v>
      </c>
      <c r="J15" s="27" t="s">
        <v>51</v>
      </c>
      <c r="K15" s="27" t="s">
        <v>52</v>
      </c>
      <c r="L15" s="27" t="s">
        <v>38</v>
      </c>
      <c r="M15" s="27" t="s">
        <v>40</v>
      </c>
      <c r="N15" s="28" t="s">
        <v>39</v>
      </c>
      <c r="O15" s="28" t="s">
        <v>39</v>
      </c>
      <c r="P15" s="29">
        <v>0.0</v>
      </c>
      <c r="Q15" s="14">
        <v>0.3333333333333333</v>
      </c>
      <c r="R15" s="30" t="s">
        <v>39</v>
      </c>
      <c r="S15" s="29">
        <v>0.2</v>
      </c>
      <c r="T15" s="31">
        <v>975.51</v>
      </c>
      <c r="U15" s="29">
        <v>0.0</v>
      </c>
      <c r="V15" s="29">
        <v>1.0</v>
      </c>
      <c r="W15" s="29">
        <v>1.0</v>
      </c>
      <c r="X15" s="31">
        <v>0.0</v>
      </c>
      <c r="Y15" s="28"/>
      <c r="Z15" s="32">
        <v>0.0</v>
      </c>
      <c r="AA15" s="2"/>
      <c r="AB15" s="2"/>
      <c r="AC15" s="2"/>
      <c r="AD15" s="2"/>
      <c r="AE15" s="2"/>
      <c r="AF15" s="2"/>
      <c r="AG15" s="2" t="str">
        <f>'IC Output - HUB'!$N15&amp;'IC Output - HUB'!$M15&amp;'IC Output - HUB'!$I15&amp;'IC Output - HUB'!$L15&amp;'IC Output - HUB'!$P15</f>
        <v>TerritoryMBOTrimester0</v>
      </c>
      <c r="AH15" s="2"/>
      <c r="AI15" s="2"/>
      <c r="AJ15" s="2"/>
      <c r="AK15" s="2"/>
    </row>
    <row r="16">
      <c r="A16" s="18" t="s">
        <v>27</v>
      </c>
      <c r="B16" s="19" t="s">
        <v>28</v>
      </c>
      <c r="C16" s="19" t="s">
        <v>29</v>
      </c>
      <c r="D16" s="19" t="s">
        <v>40</v>
      </c>
      <c r="E16" s="19" t="s">
        <v>41</v>
      </c>
      <c r="F16" s="19" t="s">
        <v>42</v>
      </c>
      <c r="G16" s="19" t="s">
        <v>33</v>
      </c>
      <c r="H16" s="19" t="s">
        <v>43</v>
      </c>
      <c r="I16" s="19" t="s">
        <v>44</v>
      </c>
      <c r="J16" s="19" t="s">
        <v>53</v>
      </c>
      <c r="K16" s="19" t="s">
        <v>54</v>
      </c>
      <c r="L16" s="19" t="s">
        <v>38</v>
      </c>
      <c r="M16" s="19" t="s">
        <v>40</v>
      </c>
      <c r="N16" s="20" t="s">
        <v>39</v>
      </c>
      <c r="O16" s="20" t="s">
        <v>39</v>
      </c>
      <c r="P16" s="21">
        <v>0.0</v>
      </c>
      <c r="Q16" s="22">
        <v>0.3333333333333333</v>
      </c>
      <c r="R16" s="23" t="s">
        <v>39</v>
      </c>
      <c r="S16" s="21">
        <v>0.4</v>
      </c>
      <c r="T16" s="24">
        <v>1951.03</v>
      </c>
      <c r="U16" s="21">
        <v>0.0</v>
      </c>
      <c r="V16" s="21">
        <v>1.0</v>
      </c>
      <c r="W16" s="21">
        <v>1.0</v>
      </c>
      <c r="X16" s="24">
        <v>0.0</v>
      </c>
      <c r="Y16" s="20"/>
      <c r="Z16" s="25">
        <v>0.0</v>
      </c>
      <c r="AA16" s="2"/>
      <c r="AB16" s="2"/>
      <c r="AC16" s="2"/>
      <c r="AD16" s="2"/>
      <c r="AE16" s="2"/>
      <c r="AF16" s="2"/>
      <c r="AG16" s="2" t="str">
        <f>'IC Output - HUB'!$N16&amp;'IC Output - HUB'!$M16&amp;'IC Output - HUB'!$I16&amp;'IC Output - HUB'!$L16&amp;'IC Output - HUB'!$P16</f>
        <v>TerritoryMBOTrimester0</v>
      </c>
      <c r="AH16" s="2"/>
      <c r="AI16" s="2"/>
      <c r="AJ16" s="2"/>
      <c r="AK16" s="2"/>
    </row>
    <row r="17">
      <c r="A17" s="26" t="s">
        <v>27</v>
      </c>
      <c r="B17" s="27" t="s">
        <v>28</v>
      </c>
      <c r="C17" s="27" t="s">
        <v>29</v>
      </c>
      <c r="D17" s="27" t="s">
        <v>40</v>
      </c>
      <c r="E17" s="27" t="s">
        <v>41</v>
      </c>
      <c r="F17" s="27" t="s">
        <v>42</v>
      </c>
      <c r="G17" s="27" t="s">
        <v>33</v>
      </c>
      <c r="H17" s="27" t="s">
        <v>43</v>
      </c>
      <c r="I17" s="27" t="s">
        <v>44</v>
      </c>
      <c r="J17" s="27" t="s">
        <v>53</v>
      </c>
      <c r="K17" s="27" t="s">
        <v>54</v>
      </c>
      <c r="L17" s="27" t="s">
        <v>38</v>
      </c>
      <c r="M17" s="27" t="s">
        <v>40</v>
      </c>
      <c r="N17" s="28" t="s">
        <v>39</v>
      </c>
      <c r="O17" s="28" t="s">
        <v>39</v>
      </c>
      <c r="P17" s="29">
        <v>0.0</v>
      </c>
      <c r="Q17" s="14">
        <v>0.3333333333333333</v>
      </c>
      <c r="R17" s="30" t="s">
        <v>39</v>
      </c>
      <c r="S17" s="29">
        <v>0.4</v>
      </c>
      <c r="T17" s="31">
        <v>1951.03</v>
      </c>
      <c r="U17" s="29">
        <v>0.0</v>
      </c>
      <c r="V17" s="29">
        <v>1.0</v>
      </c>
      <c r="W17" s="29">
        <v>1.0</v>
      </c>
      <c r="X17" s="31">
        <v>0.0</v>
      </c>
      <c r="Y17" s="28"/>
      <c r="Z17" s="32">
        <v>0.0</v>
      </c>
      <c r="AA17" s="2"/>
      <c r="AB17" s="2"/>
      <c r="AC17" s="2"/>
      <c r="AD17" s="2"/>
      <c r="AE17" s="2"/>
      <c r="AF17" s="2"/>
      <c r="AG17" s="2" t="str">
        <f>'IC Output - HUB'!$N17&amp;'IC Output - HUB'!$M17&amp;'IC Output - HUB'!$I17&amp;'IC Output - HUB'!$L17&amp;'IC Output - HUB'!$P17</f>
        <v>TerritoryMBOTrimester0</v>
      </c>
      <c r="AH17" s="2"/>
      <c r="AI17" s="2"/>
      <c r="AJ17" s="2"/>
      <c r="AK17" s="2"/>
    </row>
    <row r="18">
      <c r="A18" s="18" t="s">
        <v>27</v>
      </c>
      <c r="B18" s="19" t="s">
        <v>28</v>
      </c>
      <c r="C18" s="19" t="s">
        <v>29</v>
      </c>
      <c r="D18" s="19" t="s">
        <v>40</v>
      </c>
      <c r="E18" s="19" t="s">
        <v>41</v>
      </c>
      <c r="F18" s="19" t="s">
        <v>42</v>
      </c>
      <c r="G18" s="19" t="s">
        <v>33</v>
      </c>
      <c r="H18" s="19" t="s">
        <v>43</v>
      </c>
      <c r="I18" s="19" t="s">
        <v>44</v>
      </c>
      <c r="J18" s="19" t="s">
        <v>53</v>
      </c>
      <c r="K18" s="19" t="s">
        <v>54</v>
      </c>
      <c r="L18" s="19" t="s">
        <v>38</v>
      </c>
      <c r="M18" s="19" t="s">
        <v>40</v>
      </c>
      <c r="N18" s="20" t="s">
        <v>39</v>
      </c>
      <c r="O18" s="20" t="s">
        <v>39</v>
      </c>
      <c r="P18" s="21">
        <v>0.0</v>
      </c>
      <c r="Q18" s="22">
        <v>0.3333333333333333</v>
      </c>
      <c r="R18" s="23" t="s">
        <v>39</v>
      </c>
      <c r="S18" s="21">
        <v>0.2</v>
      </c>
      <c r="T18" s="24">
        <v>975.51</v>
      </c>
      <c r="U18" s="21">
        <v>0.0</v>
      </c>
      <c r="V18" s="21">
        <v>1.0</v>
      </c>
      <c r="W18" s="21">
        <v>1.0</v>
      </c>
      <c r="X18" s="24">
        <v>0.0</v>
      </c>
      <c r="Y18" s="20"/>
      <c r="Z18" s="25">
        <v>0.0</v>
      </c>
      <c r="AA18" s="2"/>
      <c r="AB18" s="2"/>
      <c r="AC18" s="2"/>
      <c r="AD18" s="2"/>
      <c r="AE18" s="2"/>
      <c r="AF18" s="2"/>
      <c r="AG18" s="2" t="str">
        <f>'IC Output - HUB'!$N18&amp;'IC Output - HUB'!$M18&amp;'IC Output - HUB'!$I18&amp;'IC Output - HUB'!$L18&amp;'IC Output - HUB'!$P18</f>
        <v>TerritoryMBOTrimester0</v>
      </c>
      <c r="AH18" s="2"/>
      <c r="AI18" s="2"/>
      <c r="AJ18" s="2"/>
      <c r="AK18" s="2"/>
    </row>
    <row r="19">
      <c r="A19" s="26" t="s">
        <v>27</v>
      </c>
      <c r="B19" s="27" t="s">
        <v>55</v>
      </c>
      <c r="C19" s="27" t="s">
        <v>29</v>
      </c>
      <c r="D19" s="27" t="s">
        <v>40</v>
      </c>
      <c r="E19" s="27" t="s">
        <v>41</v>
      </c>
      <c r="F19" s="27" t="s">
        <v>56</v>
      </c>
      <c r="G19" s="27" t="s">
        <v>33</v>
      </c>
      <c r="H19" s="27" t="s">
        <v>43</v>
      </c>
      <c r="I19" s="27" t="s">
        <v>44</v>
      </c>
      <c r="J19" s="27" t="s">
        <v>57</v>
      </c>
      <c r="K19" s="27" t="s">
        <v>58</v>
      </c>
      <c r="L19" s="27" t="s">
        <v>38</v>
      </c>
      <c r="M19" s="27" t="s">
        <v>40</v>
      </c>
      <c r="N19" s="28" t="s">
        <v>39</v>
      </c>
      <c r="O19" s="28" t="s">
        <v>39</v>
      </c>
      <c r="P19" s="30" t="s">
        <v>39</v>
      </c>
      <c r="Q19" s="14">
        <v>0.3333333333333333</v>
      </c>
      <c r="R19" s="30" t="s">
        <v>39</v>
      </c>
      <c r="S19" s="29">
        <v>0.2</v>
      </c>
      <c r="T19" s="31">
        <v>975.51</v>
      </c>
      <c r="U19" s="29">
        <v>0.0</v>
      </c>
      <c r="V19" s="29">
        <v>0.0</v>
      </c>
      <c r="W19" s="29">
        <v>0.0</v>
      </c>
      <c r="X19" s="31">
        <v>0.0</v>
      </c>
      <c r="Y19" s="28"/>
      <c r="Z19" s="32">
        <v>0.0</v>
      </c>
      <c r="AA19" s="2"/>
      <c r="AB19" s="2"/>
      <c r="AC19" s="2"/>
      <c r="AD19" s="2"/>
      <c r="AE19" s="2"/>
      <c r="AF19" s="2"/>
      <c r="AG19" s="2" t="str">
        <f>'IC Output - HUB'!$N19&amp;'IC Output - HUB'!$M19&amp;'IC Output - HUB'!$I19&amp;'IC Output - HUB'!$L19&amp;'IC Output - HUB'!$P19</f>
        <v>TerritoryMBOTrimester</v>
      </c>
      <c r="AH19" s="2"/>
      <c r="AI19" s="2"/>
      <c r="AJ19" s="2"/>
      <c r="AK19" s="2"/>
    </row>
    <row r="20">
      <c r="A20" s="18" t="s">
        <v>27</v>
      </c>
      <c r="B20" s="19" t="s">
        <v>55</v>
      </c>
      <c r="C20" s="19" t="s">
        <v>29</v>
      </c>
      <c r="D20" s="19" t="s">
        <v>40</v>
      </c>
      <c r="E20" s="19" t="s">
        <v>41</v>
      </c>
      <c r="F20" s="19" t="s">
        <v>59</v>
      </c>
      <c r="G20" s="19" t="s">
        <v>33</v>
      </c>
      <c r="H20" s="19" t="s">
        <v>60</v>
      </c>
      <c r="I20" s="19" t="s">
        <v>61</v>
      </c>
      <c r="J20" s="19" t="s">
        <v>57</v>
      </c>
      <c r="K20" s="19" t="s">
        <v>58</v>
      </c>
      <c r="L20" s="19" t="s">
        <v>38</v>
      </c>
      <c r="M20" s="19" t="s">
        <v>30</v>
      </c>
      <c r="N20" s="19">
        <v>43553.0</v>
      </c>
      <c r="O20" s="19">
        <v>43056.0</v>
      </c>
      <c r="P20" s="21">
        <v>1.0115</v>
      </c>
      <c r="Q20" s="22">
        <v>0.3333333333333333</v>
      </c>
      <c r="R20" s="21">
        <v>1.1006</v>
      </c>
      <c r="S20" s="21">
        <v>0.4</v>
      </c>
      <c r="T20" s="24">
        <v>1951.03</v>
      </c>
      <c r="U20" s="21">
        <v>0.0</v>
      </c>
      <c r="V20" s="21">
        <v>0.0</v>
      </c>
      <c r="W20" s="21">
        <v>0.0</v>
      </c>
      <c r="X20" s="24">
        <v>2147.303618</v>
      </c>
      <c r="Y20" s="20"/>
      <c r="Z20" s="25">
        <v>0.0</v>
      </c>
      <c r="AA20" s="2"/>
      <c r="AB20" s="2"/>
      <c r="AC20" s="2"/>
      <c r="AD20" s="2"/>
      <c r="AE20" s="2"/>
      <c r="AF20" s="2"/>
      <c r="AG20" s="2" t="str">
        <f>'IC Output - HUB'!$N20&amp;'IC Output - HUB'!$M20&amp;'IC Output - HUB'!$I20&amp;'IC Output - HUB'!$L20&amp;'IC Output - HUB'!$P20</f>
        <v>43553NationGoal AttainmentTrimester1.0115</v>
      </c>
      <c r="AH20" s="2"/>
      <c r="AI20" s="2"/>
      <c r="AJ20" s="2"/>
      <c r="AK20" s="2"/>
    </row>
    <row r="21">
      <c r="A21" s="26" t="s">
        <v>27</v>
      </c>
      <c r="B21" s="27" t="s">
        <v>55</v>
      </c>
      <c r="C21" s="27" t="s">
        <v>29</v>
      </c>
      <c r="D21" s="27" t="s">
        <v>40</v>
      </c>
      <c r="E21" s="27" t="s">
        <v>41</v>
      </c>
      <c r="F21" s="27" t="s">
        <v>56</v>
      </c>
      <c r="G21" s="27" t="s">
        <v>33</v>
      </c>
      <c r="H21" s="27" t="s">
        <v>60</v>
      </c>
      <c r="I21" s="27" t="s">
        <v>61</v>
      </c>
      <c r="J21" s="27" t="s">
        <v>57</v>
      </c>
      <c r="K21" s="27" t="s">
        <v>58</v>
      </c>
      <c r="L21" s="27" t="s">
        <v>38</v>
      </c>
      <c r="M21" s="27" t="s">
        <v>30</v>
      </c>
      <c r="N21" s="27">
        <v>409698.1716750002</v>
      </c>
      <c r="O21" s="27">
        <v>420041.0</v>
      </c>
      <c r="P21" s="29">
        <v>0.9754</v>
      </c>
      <c r="Q21" s="14">
        <v>0.3333333333333333</v>
      </c>
      <c r="R21" s="29">
        <v>0.7582</v>
      </c>
      <c r="S21" s="29">
        <v>0.4</v>
      </c>
      <c r="T21" s="31">
        <v>1951.03</v>
      </c>
      <c r="U21" s="29">
        <v>0.0</v>
      </c>
      <c r="V21" s="29">
        <v>0.0</v>
      </c>
      <c r="W21" s="29">
        <v>0.0</v>
      </c>
      <c r="X21" s="31">
        <v>1479.2709459999999</v>
      </c>
      <c r="Y21" s="28"/>
      <c r="Z21" s="32">
        <v>0.0</v>
      </c>
      <c r="AA21" s="2"/>
      <c r="AB21" s="2"/>
      <c r="AC21" s="2"/>
      <c r="AD21" s="2"/>
      <c r="AE21" s="2"/>
      <c r="AF21" s="2"/>
      <c r="AG21" s="2" t="str">
        <f>'IC Output - HUB'!$N21&amp;'IC Output - HUB'!$M21&amp;'IC Output - HUB'!$I21&amp;'IC Output - HUB'!$L21&amp;'IC Output - HUB'!$P21</f>
        <v>409698.171675NationGoal AttainmentTrimester0.9754</v>
      </c>
      <c r="AH21" s="2"/>
      <c r="AI21" s="2"/>
      <c r="AJ21" s="2"/>
      <c r="AK21" s="2"/>
    </row>
    <row r="22">
      <c r="A22" s="18" t="s">
        <v>27</v>
      </c>
      <c r="B22" s="19" t="s">
        <v>62</v>
      </c>
      <c r="C22" s="19" t="s">
        <v>63</v>
      </c>
      <c r="D22" s="19" t="s">
        <v>40</v>
      </c>
      <c r="E22" s="19" t="s">
        <v>41</v>
      </c>
      <c r="F22" s="19" t="s">
        <v>64</v>
      </c>
      <c r="G22" s="19" t="s">
        <v>33</v>
      </c>
      <c r="H22" s="19" t="s">
        <v>65</v>
      </c>
      <c r="I22" s="19" t="s">
        <v>61</v>
      </c>
      <c r="J22" s="19" t="s">
        <v>66</v>
      </c>
      <c r="K22" s="19" t="s">
        <v>67</v>
      </c>
      <c r="L22" s="19" t="s">
        <v>68</v>
      </c>
      <c r="M22" s="19" t="s">
        <v>40</v>
      </c>
      <c r="N22" s="19">
        <v>3007.0</v>
      </c>
      <c r="O22" s="19">
        <v>3073.2331103036167</v>
      </c>
      <c r="P22" s="21">
        <v>0.9784</v>
      </c>
      <c r="Q22" s="22">
        <v>0.25</v>
      </c>
      <c r="R22" s="21">
        <v>0.7872</v>
      </c>
      <c r="S22" s="21">
        <v>1.0</v>
      </c>
      <c r="T22" s="24">
        <v>3907.81</v>
      </c>
      <c r="U22" s="21">
        <v>0.0</v>
      </c>
      <c r="V22" s="21">
        <v>1.0</v>
      </c>
      <c r="W22" s="21">
        <v>1.0</v>
      </c>
      <c r="X22" s="24">
        <v>3076.228032</v>
      </c>
      <c r="Y22" s="20"/>
      <c r="Z22" s="25">
        <v>3076.228032</v>
      </c>
      <c r="AA22" s="2"/>
      <c r="AB22" s="2"/>
      <c r="AC22" s="2"/>
      <c r="AD22" s="2"/>
      <c r="AE22" s="2"/>
      <c r="AF22" s="2"/>
      <c r="AG22" s="2" t="str">
        <f>'IC Output - HUB'!$N22&amp;'IC Output - HUB'!$M22&amp;'IC Output - HUB'!$I22&amp;'IC Output - HUB'!$L22&amp;'IC Output - HUB'!$P22</f>
        <v>3007TerritoryGoal AttainmentQuarter0.9784</v>
      </c>
      <c r="AH22" s="2"/>
      <c r="AI22" s="2"/>
      <c r="AJ22" s="2"/>
      <c r="AK22" s="2"/>
    </row>
    <row r="23">
      <c r="A23" s="26" t="s">
        <v>27</v>
      </c>
      <c r="B23" s="27" t="s">
        <v>62</v>
      </c>
      <c r="C23" s="27" t="s">
        <v>63</v>
      </c>
      <c r="D23" s="27" t="s">
        <v>40</v>
      </c>
      <c r="E23" s="27" t="s">
        <v>41</v>
      </c>
      <c r="F23" s="27" t="s">
        <v>64</v>
      </c>
      <c r="G23" s="27" t="s">
        <v>33</v>
      </c>
      <c r="H23" s="27" t="s">
        <v>65</v>
      </c>
      <c r="I23" s="27" t="s">
        <v>61</v>
      </c>
      <c r="J23" s="27" t="s">
        <v>69</v>
      </c>
      <c r="K23" s="27" t="s">
        <v>70</v>
      </c>
      <c r="L23" s="27" t="s">
        <v>68</v>
      </c>
      <c r="M23" s="27" t="s">
        <v>40</v>
      </c>
      <c r="N23" s="27">
        <v>3770.0</v>
      </c>
      <c r="O23" s="27">
        <v>3817.1602132612134</v>
      </c>
      <c r="P23" s="29">
        <v>0.9876</v>
      </c>
      <c r="Q23" s="14">
        <v>0.25</v>
      </c>
      <c r="R23" s="29">
        <v>0.8773</v>
      </c>
      <c r="S23" s="29">
        <v>1.0</v>
      </c>
      <c r="T23" s="31">
        <v>3907.81</v>
      </c>
      <c r="U23" s="29">
        <v>0.0</v>
      </c>
      <c r="V23" s="29">
        <v>1.0</v>
      </c>
      <c r="W23" s="29">
        <v>1.0</v>
      </c>
      <c r="X23" s="31">
        <v>3428.321713</v>
      </c>
      <c r="Y23" s="28"/>
      <c r="Z23" s="32">
        <v>3428.321713</v>
      </c>
      <c r="AA23" s="2"/>
      <c r="AB23" s="2"/>
      <c r="AC23" s="2"/>
      <c r="AD23" s="2"/>
      <c r="AE23" s="2"/>
      <c r="AF23" s="2"/>
      <c r="AG23" s="2" t="str">
        <f>'IC Output - HUB'!$N23&amp;'IC Output - HUB'!$M23&amp;'IC Output - HUB'!$I23&amp;'IC Output - HUB'!$L23&amp;'IC Output - HUB'!$P23</f>
        <v>3770TerritoryGoal AttainmentQuarter0.9876</v>
      </c>
      <c r="AH23" s="2"/>
      <c r="AI23" s="2"/>
      <c r="AJ23" s="2"/>
      <c r="AK23" s="2"/>
    </row>
    <row r="24">
      <c r="A24" s="18" t="s">
        <v>27</v>
      </c>
      <c r="B24" s="19" t="s">
        <v>62</v>
      </c>
      <c r="C24" s="19" t="s">
        <v>63</v>
      </c>
      <c r="D24" s="19" t="s">
        <v>40</v>
      </c>
      <c r="E24" s="19" t="s">
        <v>41</v>
      </c>
      <c r="F24" s="19" t="s">
        <v>64</v>
      </c>
      <c r="G24" s="19" t="s">
        <v>33</v>
      </c>
      <c r="H24" s="19" t="s">
        <v>65</v>
      </c>
      <c r="I24" s="19" t="s">
        <v>61</v>
      </c>
      <c r="J24" s="19" t="s">
        <v>71</v>
      </c>
      <c r="K24" s="19" t="s">
        <v>72</v>
      </c>
      <c r="L24" s="19" t="s">
        <v>68</v>
      </c>
      <c r="M24" s="19" t="s">
        <v>40</v>
      </c>
      <c r="N24" s="19">
        <v>3533.0</v>
      </c>
      <c r="O24" s="19">
        <v>3508.5139042924843</v>
      </c>
      <c r="P24" s="21">
        <v>1.007</v>
      </c>
      <c r="Q24" s="22">
        <v>0.25</v>
      </c>
      <c r="R24" s="21">
        <v>1.0614</v>
      </c>
      <c r="S24" s="21">
        <v>1.0</v>
      </c>
      <c r="T24" s="24">
        <v>3907.81</v>
      </c>
      <c r="U24" s="21">
        <v>0.0</v>
      </c>
      <c r="V24" s="21">
        <v>1.0</v>
      </c>
      <c r="W24" s="21">
        <v>1.0</v>
      </c>
      <c r="X24" s="24">
        <v>4147.749534</v>
      </c>
      <c r="Y24" s="20"/>
      <c r="Z24" s="25">
        <v>4147.749534</v>
      </c>
      <c r="AA24" s="2"/>
      <c r="AB24" s="2"/>
      <c r="AC24" s="2"/>
      <c r="AD24" s="2"/>
      <c r="AE24" s="2"/>
      <c r="AF24" s="2"/>
      <c r="AG24" s="2" t="str">
        <f>'IC Output - HUB'!$N24&amp;'IC Output - HUB'!$M24&amp;'IC Output - HUB'!$I24&amp;'IC Output - HUB'!$L24&amp;'IC Output - HUB'!$P24</f>
        <v>3533TerritoryGoal AttainmentQuarter1.007</v>
      </c>
      <c r="AH24" s="2"/>
      <c r="AI24" s="2"/>
      <c r="AJ24" s="2"/>
      <c r="AK24" s="2"/>
    </row>
    <row r="25">
      <c r="A25" s="26" t="s">
        <v>27</v>
      </c>
      <c r="B25" s="27" t="s">
        <v>62</v>
      </c>
      <c r="C25" s="27" t="s">
        <v>63</v>
      </c>
      <c r="D25" s="27" t="s">
        <v>40</v>
      </c>
      <c r="E25" s="27" t="s">
        <v>41</v>
      </c>
      <c r="F25" s="27" t="s">
        <v>64</v>
      </c>
      <c r="G25" s="27" t="s">
        <v>33</v>
      </c>
      <c r="H25" s="27" t="s">
        <v>65</v>
      </c>
      <c r="I25" s="27" t="s">
        <v>61</v>
      </c>
      <c r="J25" s="27" t="s">
        <v>73</v>
      </c>
      <c r="K25" s="27" t="s">
        <v>74</v>
      </c>
      <c r="L25" s="27" t="s">
        <v>68</v>
      </c>
      <c r="M25" s="27" t="s">
        <v>40</v>
      </c>
      <c r="N25" s="27">
        <v>2707.0</v>
      </c>
      <c r="O25" s="27">
        <v>2770.333849789511</v>
      </c>
      <c r="P25" s="29">
        <v>0.9771</v>
      </c>
      <c r="Q25" s="14">
        <v>0.25</v>
      </c>
      <c r="R25" s="29">
        <v>0.7746</v>
      </c>
      <c r="S25" s="29">
        <v>1.0</v>
      </c>
      <c r="T25" s="31">
        <v>3907.81</v>
      </c>
      <c r="U25" s="29">
        <v>0.0</v>
      </c>
      <c r="V25" s="29">
        <v>0.0</v>
      </c>
      <c r="W25" s="29">
        <v>0.0</v>
      </c>
      <c r="X25" s="31">
        <v>3026.9896259999996</v>
      </c>
      <c r="Y25" s="28"/>
      <c r="Z25" s="32">
        <v>0.0</v>
      </c>
      <c r="AA25" s="2"/>
      <c r="AB25" s="2"/>
      <c r="AC25" s="2"/>
      <c r="AD25" s="2"/>
      <c r="AE25" s="2"/>
      <c r="AF25" s="2"/>
      <c r="AG25" s="2" t="str">
        <f>'IC Output - HUB'!$N25&amp;'IC Output - HUB'!$M25&amp;'IC Output - HUB'!$I25&amp;'IC Output - HUB'!$L25&amp;'IC Output - HUB'!$P25</f>
        <v>2707TerritoryGoal AttainmentQuarter0.9771</v>
      </c>
      <c r="AH25" s="2"/>
      <c r="AI25" s="2"/>
      <c r="AJ25" s="2"/>
      <c r="AK25" s="2"/>
    </row>
    <row r="26">
      <c r="A26" s="18" t="s">
        <v>27</v>
      </c>
      <c r="B26" s="19" t="s">
        <v>62</v>
      </c>
      <c r="C26" s="19" t="s">
        <v>63</v>
      </c>
      <c r="D26" s="19" t="s">
        <v>40</v>
      </c>
      <c r="E26" s="19" t="s">
        <v>41</v>
      </c>
      <c r="F26" s="19" t="s">
        <v>64</v>
      </c>
      <c r="G26" s="19" t="s">
        <v>33</v>
      </c>
      <c r="H26" s="19" t="s">
        <v>65</v>
      </c>
      <c r="I26" s="19" t="s">
        <v>61</v>
      </c>
      <c r="J26" s="19" t="s">
        <v>75</v>
      </c>
      <c r="K26" s="19" t="s">
        <v>76</v>
      </c>
      <c r="L26" s="19" t="s">
        <v>68</v>
      </c>
      <c r="M26" s="19" t="s">
        <v>40</v>
      </c>
      <c r="N26" s="19">
        <v>1362.0</v>
      </c>
      <c r="O26" s="19">
        <v>1449.321052697483</v>
      </c>
      <c r="P26" s="21">
        <v>0.9398</v>
      </c>
      <c r="Q26" s="22">
        <v>0.25</v>
      </c>
      <c r="R26" s="21">
        <v>0.4414</v>
      </c>
      <c r="S26" s="21">
        <v>1.0</v>
      </c>
      <c r="T26" s="24">
        <v>3907.81</v>
      </c>
      <c r="U26" s="21">
        <v>0.0</v>
      </c>
      <c r="V26" s="21">
        <v>1.0</v>
      </c>
      <c r="W26" s="21">
        <v>1.0</v>
      </c>
      <c r="X26" s="24">
        <v>1724.907334</v>
      </c>
      <c r="Y26" s="20"/>
      <c r="Z26" s="25">
        <v>1724.907334</v>
      </c>
      <c r="AA26" s="2"/>
      <c r="AB26" s="2"/>
      <c r="AC26" s="2"/>
      <c r="AD26" s="2"/>
      <c r="AE26" s="2"/>
      <c r="AF26" s="2"/>
      <c r="AG26" s="2" t="str">
        <f>'IC Output - HUB'!$N26&amp;'IC Output - HUB'!$M26&amp;'IC Output - HUB'!$I26&amp;'IC Output - HUB'!$L26&amp;'IC Output - HUB'!$P26</f>
        <v>1362TerritoryGoal AttainmentQuarter0.9398</v>
      </c>
      <c r="AH26" s="2"/>
      <c r="AI26" s="2"/>
      <c r="AJ26" s="2"/>
      <c r="AK26" s="2"/>
    </row>
    <row r="27">
      <c r="A27" s="26" t="s">
        <v>27</v>
      </c>
      <c r="B27" s="27" t="s">
        <v>62</v>
      </c>
      <c r="C27" s="27" t="s">
        <v>63</v>
      </c>
      <c r="D27" s="27" t="s">
        <v>40</v>
      </c>
      <c r="E27" s="27" t="s">
        <v>41</v>
      </c>
      <c r="F27" s="27" t="s">
        <v>64</v>
      </c>
      <c r="G27" s="27" t="s">
        <v>33</v>
      </c>
      <c r="H27" s="27" t="s">
        <v>65</v>
      </c>
      <c r="I27" s="27" t="s">
        <v>61</v>
      </c>
      <c r="J27" s="27" t="s">
        <v>77</v>
      </c>
      <c r="K27" s="27" t="s">
        <v>78</v>
      </c>
      <c r="L27" s="27" t="s">
        <v>68</v>
      </c>
      <c r="M27" s="27" t="s">
        <v>40</v>
      </c>
      <c r="N27" s="27">
        <v>2637.0</v>
      </c>
      <c r="O27" s="27">
        <v>2748.4057721989266</v>
      </c>
      <c r="P27" s="29">
        <v>0.9595</v>
      </c>
      <c r="Q27" s="14">
        <v>0.25</v>
      </c>
      <c r="R27" s="29">
        <v>0.6094</v>
      </c>
      <c r="S27" s="29">
        <v>1.0</v>
      </c>
      <c r="T27" s="31">
        <v>3907.81</v>
      </c>
      <c r="U27" s="29">
        <v>0.0</v>
      </c>
      <c r="V27" s="29">
        <v>1.0</v>
      </c>
      <c r="W27" s="29">
        <v>1.0</v>
      </c>
      <c r="X27" s="31">
        <v>2381.419414</v>
      </c>
      <c r="Y27" s="28"/>
      <c r="Z27" s="32">
        <v>2381.419414</v>
      </c>
      <c r="AA27" s="2"/>
      <c r="AB27" s="2"/>
      <c r="AC27" s="2"/>
      <c r="AD27" s="2"/>
      <c r="AE27" s="2"/>
      <c r="AF27" s="2"/>
      <c r="AG27" s="2" t="str">
        <f>'IC Output - HUB'!$N27&amp;'IC Output - HUB'!$M27&amp;'IC Output - HUB'!$I27&amp;'IC Output - HUB'!$L27&amp;'IC Output - HUB'!$P27</f>
        <v>2637TerritoryGoal AttainmentQuarter0.9595</v>
      </c>
      <c r="AH27" s="2"/>
      <c r="AI27" s="2"/>
      <c r="AJ27" s="2"/>
      <c r="AK27" s="2"/>
    </row>
    <row r="28">
      <c r="A28" s="18" t="s">
        <v>27</v>
      </c>
      <c r="B28" s="19" t="s">
        <v>62</v>
      </c>
      <c r="C28" s="19" t="s">
        <v>63</v>
      </c>
      <c r="D28" s="19" t="s">
        <v>40</v>
      </c>
      <c r="E28" s="19" t="s">
        <v>41</v>
      </c>
      <c r="F28" s="19" t="s">
        <v>64</v>
      </c>
      <c r="G28" s="19" t="s">
        <v>33</v>
      </c>
      <c r="H28" s="19" t="s">
        <v>65</v>
      </c>
      <c r="I28" s="19" t="s">
        <v>61</v>
      </c>
      <c r="J28" s="19" t="s">
        <v>79</v>
      </c>
      <c r="K28" s="19" t="s">
        <v>80</v>
      </c>
      <c r="L28" s="19" t="s">
        <v>68</v>
      </c>
      <c r="M28" s="19" t="s">
        <v>40</v>
      </c>
      <c r="N28" s="19">
        <v>1603.0</v>
      </c>
      <c r="O28" s="19">
        <v>1564.7253020006783</v>
      </c>
      <c r="P28" s="21">
        <v>1.0245</v>
      </c>
      <c r="Q28" s="22">
        <v>0.25</v>
      </c>
      <c r="R28" s="21">
        <v>1.2121</v>
      </c>
      <c r="S28" s="21">
        <v>1.0</v>
      </c>
      <c r="T28" s="24">
        <v>3907.81</v>
      </c>
      <c r="U28" s="21">
        <v>0.0</v>
      </c>
      <c r="V28" s="21">
        <v>1.0</v>
      </c>
      <c r="W28" s="21">
        <v>1.0</v>
      </c>
      <c r="X28" s="24">
        <v>4736.6565009999995</v>
      </c>
      <c r="Y28" s="20"/>
      <c r="Z28" s="25">
        <v>4736.6565009999995</v>
      </c>
      <c r="AA28" s="2"/>
      <c r="AB28" s="2"/>
      <c r="AC28" s="2"/>
      <c r="AD28" s="2"/>
      <c r="AE28" s="2"/>
      <c r="AF28" s="2"/>
      <c r="AG28" s="2" t="str">
        <f>'IC Output - HUB'!$N28&amp;'IC Output - HUB'!$M28&amp;'IC Output - HUB'!$I28&amp;'IC Output - HUB'!$L28&amp;'IC Output - HUB'!$P28</f>
        <v>1603TerritoryGoal AttainmentQuarter1.0245</v>
      </c>
      <c r="AH28" s="2"/>
      <c r="AI28" s="2"/>
      <c r="AJ28" s="2"/>
      <c r="AK28" s="2"/>
    </row>
    <row r="29">
      <c r="A29" s="26" t="s">
        <v>27</v>
      </c>
      <c r="B29" s="27" t="s">
        <v>62</v>
      </c>
      <c r="C29" s="27" t="s">
        <v>63</v>
      </c>
      <c r="D29" s="27" t="s">
        <v>40</v>
      </c>
      <c r="E29" s="27" t="s">
        <v>41</v>
      </c>
      <c r="F29" s="27" t="s">
        <v>64</v>
      </c>
      <c r="G29" s="27" t="s">
        <v>33</v>
      </c>
      <c r="H29" s="27" t="s">
        <v>65</v>
      </c>
      <c r="I29" s="27" t="s">
        <v>61</v>
      </c>
      <c r="J29" s="27" t="s">
        <v>81</v>
      </c>
      <c r="K29" s="27" t="s">
        <v>82</v>
      </c>
      <c r="L29" s="27" t="s">
        <v>68</v>
      </c>
      <c r="M29" s="27" t="s">
        <v>40</v>
      </c>
      <c r="N29" s="27">
        <v>1683.0</v>
      </c>
      <c r="O29" s="27">
        <v>1664.6742588665857</v>
      </c>
      <c r="P29" s="29">
        <v>1.011</v>
      </c>
      <c r="Q29" s="14">
        <v>0.25</v>
      </c>
      <c r="R29" s="29">
        <v>1.0962</v>
      </c>
      <c r="S29" s="29">
        <v>1.0</v>
      </c>
      <c r="T29" s="31">
        <v>3907.81</v>
      </c>
      <c r="U29" s="29">
        <v>0.0</v>
      </c>
      <c r="V29" s="29">
        <v>1.0</v>
      </c>
      <c r="W29" s="29">
        <v>1.0</v>
      </c>
      <c r="X29" s="31">
        <v>4283.741322</v>
      </c>
      <c r="Y29" s="28"/>
      <c r="Z29" s="32">
        <v>4283.741322</v>
      </c>
      <c r="AA29" s="2"/>
      <c r="AB29" s="2"/>
      <c r="AC29" s="2"/>
      <c r="AD29" s="2"/>
      <c r="AE29" s="2"/>
      <c r="AF29" s="2"/>
      <c r="AG29" s="2" t="str">
        <f>'IC Output - HUB'!$N29&amp;'IC Output - HUB'!$M29&amp;'IC Output - HUB'!$I29&amp;'IC Output - HUB'!$L29&amp;'IC Output - HUB'!$P29</f>
        <v>1683TerritoryGoal AttainmentQuarter1.011</v>
      </c>
      <c r="AH29" s="2"/>
      <c r="AI29" s="2"/>
      <c r="AJ29" s="2"/>
      <c r="AK29" s="2"/>
    </row>
    <row r="30">
      <c r="A30" s="18" t="s">
        <v>27</v>
      </c>
      <c r="B30" s="19" t="s">
        <v>62</v>
      </c>
      <c r="C30" s="19" t="s">
        <v>63</v>
      </c>
      <c r="D30" s="19" t="s">
        <v>40</v>
      </c>
      <c r="E30" s="19" t="s">
        <v>41</v>
      </c>
      <c r="F30" s="19" t="s">
        <v>64</v>
      </c>
      <c r="G30" s="19" t="s">
        <v>33</v>
      </c>
      <c r="H30" s="19" t="s">
        <v>65</v>
      </c>
      <c r="I30" s="19" t="s">
        <v>61</v>
      </c>
      <c r="J30" s="19" t="s">
        <v>83</v>
      </c>
      <c r="K30" s="19" t="s">
        <v>84</v>
      </c>
      <c r="L30" s="19" t="s">
        <v>68</v>
      </c>
      <c r="M30" s="19" t="s">
        <v>40</v>
      </c>
      <c r="N30" s="19">
        <v>3332.0</v>
      </c>
      <c r="O30" s="19">
        <v>3155.00082613205</v>
      </c>
      <c r="P30" s="21">
        <v>1.0561</v>
      </c>
      <c r="Q30" s="22">
        <v>0.25</v>
      </c>
      <c r="R30" s="21">
        <v>1.4693</v>
      </c>
      <c r="S30" s="21">
        <v>1.0</v>
      </c>
      <c r="T30" s="24">
        <v>3907.81</v>
      </c>
      <c r="U30" s="21">
        <v>0.0</v>
      </c>
      <c r="V30" s="21">
        <v>1.0</v>
      </c>
      <c r="W30" s="21">
        <v>1.0</v>
      </c>
      <c r="X30" s="24">
        <v>5741.745233000001</v>
      </c>
      <c r="Y30" s="20"/>
      <c r="Z30" s="25">
        <v>5741.745233000001</v>
      </c>
      <c r="AA30" s="2"/>
      <c r="AB30" s="2"/>
      <c r="AC30" s="2"/>
      <c r="AD30" s="2"/>
      <c r="AE30" s="2"/>
      <c r="AF30" s="2"/>
      <c r="AG30" s="2" t="str">
        <f>'IC Output - HUB'!$N30&amp;'IC Output - HUB'!$M30&amp;'IC Output - HUB'!$I30&amp;'IC Output - HUB'!$L30&amp;'IC Output - HUB'!$P30</f>
        <v>3332TerritoryGoal AttainmentQuarter1.0561</v>
      </c>
      <c r="AH30" s="2"/>
      <c r="AI30" s="2"/>
      <c r="AJ30" s="2"/>
      <c r="AK30" s="2"/>
    </row>
    <row r="31">
      <c r="A31" s="26" t="s">
        <v>27</v>
      </c>
      <c r="B31" s="27" t="s">
        <v>62</v>
      </c>
      <c r="C31" s="27" t="s">
        <v>63</v>
      </c>
      <c r="D31" s="27" t="s">
        <v>40</v>
      </c>
      <c r="E31" s="27" t="s">
        <v>41</v>
      </c>
      <c r="F31" s="27" t="s">
        <v>64</v>
      </c>
      <c r="G31" s="27" t="s">
        <v>33</v>
      </c>
      <c r="H31" s="27" t="s">
        <v>65</v>
      </c>
      <c r="I31" s="27" t="s">
        <v>61</v>
      </c>
      <c r="J31" s="27" t="s">
        <v>85</v>
      </c>
      <c r="K31" s="27" t="s">
        <v>86</v>
      </c>
      <c r="L31" s="27" t="s">
        <v>68</v>
      </c>
      <c r="M31" s="27" t="s">
        <v>40</v>
      </c>
      <c r="N31" s="27">
        <v>3356.0</v>
      </c>
      <c r="O31" s="27">
        <v>3331.842594832891</v>
      </c>
      <c r="P31" s="29">
        <v>1.0073</v>
      </c>
      <c r="Q31" s="14">
        <v>0.25</v>
      </c>
      <c r="R31" s="29">
        <v>1.064</v>
      </c>
      <c r="S31" s="29">
        <v>1.0</v>
      </c>
      <c r="T31" s="31">
        <v>3907.81</v>
      </c>
      <c r="U31" s="29">
        <v>0.0</v>
      </c>
      <c r="V31" s="29">
        <v>1.0</v>
      </c>
      <c r="W31" s="29">
        <v>1.0</v>
      </c>
      <c r="X31" s="31">
        <v>4157.90984</v>
      </c>
      <c r="Y31" s="28"/>
      <c r="Z31" s="32">
        <v>4157.90984</v>
      </c>
      <c r="AA31" s="2"/>
      <c r="AB31" s="2"/>
      <c r="AC31" s="2"/>
      <c r="AD31" s="2"/>
      <c r="AE31" s="2"/>
      <c r="AF31" s="2"/>
      <c r="AG31" s="2" t="str">
        <f>'IC Output - HUB'!$N31&amp;'IC Output - HUB'!$M31&amp;'IC Output - HUB'!$I31&amp;'IC Output - HUB'!$L31&amp;'IC Output - HUB'!$P31</f>
        <v>3356TerritoryGoal AttainmentQuarter1.0073</v>
      </c>
      <c r="AH31" s="2"/>
      <c r="AI31" s="2"/>
      <c r="AJ31" s="2"/>
      <c r="AK31" s="2"/>
    </row>
    <row r="32">
      <c r="A32" s="18" t="s">
        <v>27</v>
      </c>
      <c r="B32" s="19" t="s">
        <v>62</v>
      </c>
      <c r="C32" s="19" t="s">
        <v>63</v>
      </c>
      <c r="D32" s="19" t="s">
        <v>40</v>
      </c>
      <c r="E32" s="19" t="s">
        <v>41</v>
      </c>
      <c r="F32" s="19" t="s">
        <v>64</v>
      </c>
      <c r="G32" s="19" t="s">
        <v>33</v>
      </c>
      <c r="H32" s="19" t="s">
        <v>65</v>
      </c>
      <c r="I32" s="19" t="s">
        <v>61</v>
      </c>
      <c r="J32" s="19" t="s">
        <v>87</v>
      </c>
      <c r="K32" s="19" t="s">
        <v>88</v>
      </c>
      <c r="L32" s="19" t="s">
        <v>68</v>
      </c>
      <c r="M32" s="19" t="s">
        <v>40</v>
      </c>
      <c r="N32" s="19">
        <v>1745.0</v>
      </c>
      <c r="O32" s="19">
        <v>1834.973984499913</v>
      </c>
      <c r="P32" s="21">
        <v>0.951</v>
      </c>
      <c r="Q32" s="22">
        <v>0.25</v>
      </c>
      <c r="R32" s="21">
        <v>0.5343</v>
      </c>
      <c r="S32" s="21">
        <v>1.0</v>
      </c>
      <c r="T32" s="24">
        <v>3907.81</v>
      </c>
      <c r="U32" s="21">
        <v>0.0</v>
      </c>
      <c r="V32" s="21">
        <v>1.0</v>
      </c>
      <c r="W32" s="21">
        <v>1.0</v>
      </c>
      <c r="X32" s="24">
        <v>2087.942883</v>
      </c>
      <c r="Y32" s="20"/>
      <c r="Z32" s="25">
        <v>2087.942883</v>
      </c>
      <c r="AA32" s="2"/>
      <c r="AB32" s="2"/>
      <c r="AC32" s="2"/>
      <c r="AD32" s="2"/>
      <c r="AE32" s="2"/>
      <c r="AF32" s="2"/>
      <c r="AG32" s="2" t="str">
        <f>'IC Output - HUB'!$N32&amp;'IC Output - HUB'!$M32&amp;'IC Output - HUB'!$I32&amp;'IC Output - HUB'!$L32&amp;'IC Output - HUB'!$P32</f>
        <v>1745TerritoryGoal AttainmentQuarter0.951</v>
      </c>
      <c r="AH32" s="2"/>
      <c r="AI32" s="2"/>
      <c r="AJ32" s="2"/>
      <c r="AK32" s="2"/>
    </row>
    <row r="33">
      <c r="A33" s="26" t="s">
        <v>27</v>
      </c>
      <c r="B33" s="27" t="s">
        <v>62</v>
      </c>
      <c r="C33" s="27" t="s">
        <v>63</v>
      </c>
      <c r="D33" s="27" t="s">
        <v>40</v>
      </c>
      <c r="E33" s="27" t="s">
        <v>41</v>
      </c>
      <c r="F33" s="27" t="s">
        <v>64</v>
      </c>
      <c r="G33" s="27" t="s">
        <v>33</v>
      </c>
      <c r="H33" s="27" t="s">
        <v>65</v>
      </c>
      <c r="I33" s="27" t="s">
        <v>61</v>
      </c>
      <c r="J33" s="27" t="s">
        <v>89</v>
      </c>
      <c r="K33" s="27" t="s">
        <v>88</v>
      </c>
      <c r="L33" s="27" t="s">
        <v>68</v>
      </c>
      <c r="M33" s="27" t="s">
        <v>40</v>
      </c>
      <c r="N33" s="27">
        <v>1745.0</v>
      </c>
      <c r="O33" s="27">
        <v>1834.973984499913</v>
      </c>
      <c r="P33" s="29">
        <v>0.951</v>
      </c>
      <c r="Q33" s="14">
        <v>0.25</v>
      </c>
      <c r="R33" s="29">
        <v>0.5343</v>
      </c>
      <c r="S33" s="29">
        <v>1.0</v>
      </c>
      <c r="T33" s="31">
        <v>3907.81</v>
      </c>
      <c r="U33" s="29">
        <v>0.0</v>
      </c>
      <c r="V33" s="29">
        <v>1.0</v>
      </c>
      <c r="W33" s="29">
        <v>1.0</v>
      </c>
      <c r="X33" s="31">
        <v>2087.942883</v>
      </c>
      <c r="Y33" s="28"/>
      <c r="Z33" s="32">
        <v>2087.942883</v>
      </c>
      <c r="AA33" s="2"/>
      <c r="AB33" s="2"/>
      <c r="AC33" s="2"/>
      <c r="AD33" s="2"/>
      <c r="AE33" s="2"/>
      <c r="AF33" s="2"/>
      <c r="AG33" s="2" t="str">
        <f>'IC Output - HUB'!$N33&amp;'IC Output - HUB'!$M33&amp;'IC Output - HUB'!$I33&amp;'IC Output - HUB'!$L33&amp;'IC Output - HUB'!$P33</f>
        <v>1745TerritoryGoal AttainmentQuarter0.951</v>
      </c>
      <c r="AH33" s="2"/>
      <c r="AI33" s="2"/>
      <c r="AJ33" s="2"/>
      <c r="AK33" s="2"/>
    </row>
    <row r="34">
      <c r="A34" s="18" t="s">
        <v>27</v>
      </c>
      <c r="B34" s="19" t="s">
        <v>62</v>
      </c>
      <c r="C34" s="19" t="s">
        <v>63</v>
      </c>
      <c r="D34" s="19" t="s">
        <v>90</v>
      </c>
      <c r="E34" s="19" t="s">
        <v>31</v>
      </c>
      <c r="F34" s="19" t="s">
        <v>32</v>
      </c>
      <c r="G34" s="19" t="s">
        <v>33</v>
      </c>
      <c r="H34" s="19" t="s">
        <v>34</v>
      </c>
      <c r="I34" s="19" t="s">
        <v>35</v>
      </c>
      <c r="J34" s="19" t="s">
        <v>91</v>
      </c>
      <c r="K34" s="19" t="s">
        <v>92</v>
      </c>
      <c r="L34" s="19" t="s">
        <v>68</v>
      </c>
      <c r="M34" s="19" t="s">
        <v>90</v>
      </c>
      <c r="N34" s="20" t="s">
        <v>39</v>
      </c>
      <c r="O34" s="20" t="s">
        <v>39</v>
      </c>
      <c r="P34" s="23" t="s">
        <v>39</v>
      </c>
      <c r="Q34" s="22">
        <v>0.25</v>
      </c>
      <c r="R34" s="23" t="s">
        <v>39</v>
      </c>
      <c r="S34" s="21">
        <v>1.0</v>
      </c>
      <c r="T34" s="24">
        <v>3907.81</v>
      </c>
      <c r="U34" s="21">
        <v>0.0</v>
      </c>
      <c r="V34" s="21">
        <v>1.0</v>
      </c>
      <c r="W34" s="21">
        <v>1.0</v>
      </c>
      <c r="X34" s="24">
        <v>4621.2588717</v>
      </c>
      <c r="Y34" s="20"/>
      <c r="Z34" s="25">
        <v>4621.2588717</v>
      </c>
      <c r="AA34" s="2"/>
      <c r="AB34" s="2"/>
      <c r="AC34" s="2"/>
      <c r="AD34" s="2"/>
      <c r="AE34" s="2"/>
      <c r="AF34" s="2"/>
      <c r="AG34" s="2" t="str">
        <f>'IC Output - HUB'!$N34&amp;'IC Output - HUB'!$M34&amp;'IC Output - HUB'!$I34&amp;'IC Output - HUB'!$L34&amp;'IC Output - HUB'!$P34</f>
        <v>RegionAverage of Underlying TerrsQuarter</v>
      </c>
      <c r="AH34" s="2"/>
      <c r="AI34" s="2"/>
      <c r="AJ34" s="2"/>
      <c r="AK34" s="2"/>
    </row>
    <row r="35">
      <c r="A35" s="26" t="s">
        <v>27</v>
      </c>
      <c r="B35" s="27" t="s">
        <v>62</v>
      </c>
      <c r="C35" s="27" t="s">
        <v>63</v>
      </c>
      <c r="D35" s="27" t="s">
        <v>90</v>
      </c>
      <c r="E35" s="27" t="s">
        <v>31</v>
      </c>
      <c r="F35" s="27" t="s">
        <v>32</v>
      </c>
      <c r="G35" s="27" t="s">
        <v>33</v>
      </c>
      <c r="H35" s="27" t="s">
        <v>34</v>
      </c>
      <c r="I35" s="27" t="s">
        <v>35</v>
      </c>
      <c r="J35" s="27" t="s">
        <v>93</v>
      </c>
      <c r="K35" s="27" t="s">
        <v>94</v>
      </c>
      <c r="L35" s="27" t="s">
        <v>68</v>
      </c>
      <c r="M35" s="27" t="s">
        <v>90</v>
      </c>
      <c r="N35" s="28" t="s">
        <v>39</v>
      </c>
      <c r="O35" s="28" t="s">
        <v>39</v>
      </c>
      <c r="P35" s="30" t="s">
        <v>39</v>
      </c>
      <c r="Q35" s="14">
        <v>0.25</v>
      </c>
      <c r="R35" s="30" t="s">
        <v>39</v>
      </c>
      <c r="S35" s="29">
        <v>1.0</v>
      </c>
      <c r="T35" s="31">
        <v>3907.81</v>
      </c>
      <c r="U35" s="29">
        <v>0.0</v>
      </c>
      <c r="V35" s="29">
        <v>1.0</v>
      </c>
      <c r="W35" s="29">
        <v>1.0</v>
      </c>
      <c r="X35" s="31">
        <v>5847.35379825</v>
      </c>
      <c r="Y35" s="28"/>
      <c r="Z35" s="32">
        <v>5847.35379825</v>
      </c>
      <c r="AA35" s="2"/>
      <c r="AB35" s="2"/>
      <c r="AC35" s="2"/>
      <c r="AD35" s="2"/>
      <c r="AE35" s="2"/>
      <c r="AF35" s="2"/>
      <c r="AG35" s="2" t="str">
        <f>'IC Output - HUB'!$N35&amp;'IC Output - HUB'!$M35&amp;'IC Output - HUB'!$I35&amp;'IC Output - HUB'!$L35&amp;'IC Output - HUB'!$P35</f>
        <v>RegionAverage of Underlying TerrsQuarter</v>
      </c>
      <c r="AH35" s="2"/>
      <c r="AI35" s="2"/>
      <c r="AJ35" s="2"/>
      <c r="AK35" s="2"/>
    </row>
    <row r="36">
      <c r="A36" s="18" t="s">
        <v>27</v>
      </c>
      <c r="B36" s="19" t="s">
        <v>55</v>
      </c>
      <c r="C36" s="19" t="s">
        <v>29</v>
      </c>
      <c r="D36" s="19" t="s">
        <v>30</v>
      </c>
      <c r="E36" s="19" t="s">
        <v>31</v>
      </c>
      <c r="F36" s="19" t="s">
        <v>32</v>
      </c>
      <c r="G36" s="19" t="s">
        <v>33</v>
      </c>
      <c r="H36" s="19" t="s">
        <v>95</v>
      </c>
      <c r="I36" s="19" t="s">
        <v>35</v>
      </c>
      <c r="J36" s="19" t="s">
        <v>96</v>
      </c>
      <c r="K36" s="19" t="s">
        <v>97</v>
      </c>
      <c r="L36" s="19" t="s">
        <v>38</v>
      </c>
      <c r="M36" s="19" t="s">
        <v>30</v>
      </c>
      <c r="N36" s="20" t="s">
        <v>39</v>
      </c>
      <c r="O36" s="20" t="s">
        <v>39</v>
      </c>
      <c r="P36" s="23" t="s">
        <v>39</v>
      </c>
      <c r="Q36" s="22">
        <v>0.3333333333333333</v>
      </c>
      <c r="R36" s="23" t="s">
        <v>39</v>
      </c>
      <c r="S36" s="21">
        <v>1.0</v>
      </c>
      <c r="T36" s="24">
        <v>4877.57</v>
      </c>
      <c r="U36" s="21">
        <v>0.0</v>
      </c>
      <c r="V36" s="21">
        <v>1.0</v>
      </c>
      <c r="W36" s="21">
        <v>1.0</v>
      </c>
      <c r="X36" s="24">
        <v>5439.861845999999</v>
      </c>
      <c r="Y36" s="20"/>
      <c r="Z36" s="25">
        <v>5439.861845999999</v>
      </c>
      <c r="AA36" s="2"/>
      <c r="AB36" s="2"/>
      <c r="AC36" s="2"/>
      <c r="AD36" s="2"/>
      <c r="AE36" s="2"/>
      <c r="AF36" s="2"/>
      <c r="AG36" s="2" t="str">
        <f>'IC Output - HUB'!$N36&amp;'IC Output - HUB'!$M36&amp;'IC Output - HUB'!$I36&amp;'IC Output - HUB'!$L36&amp;'IC Output - HUB'!$P36</f>
        <v>NationAverage of Underlying TerrsTrimester</v>
      </c>
      <c r="AH36" s="2"/>
      <c r="AI36" s="2"/>
      <c r="AJ36" s="2"/>
      <c r="AK36" s="2"/>
    </row>
    <row r="37">
      <c r="A37" s="26" t="s">
        <v>27</v>
      </c>
      <c r="B37" s="27" t="s">
        <v>55</v>
      </c>
      <c r="C37" s="27" t="s">
        <v>29</v>
      </c>
      <c r="D37" s="27" t="s">
        <v>40</v>
      </c>
      <c r="E37" s="27" t="s">
        <v>41</v>
      </c>
      <c r="F37" s="27" t="s">
        <v>56</v>
      </c>
      <c r="G37" s="27" t="s">
        <v>33</v>
      </c>
      <c r="H37" s="27" t="s">
        <v>43</v>
      </c>
      <c r="I37" s="27" t="s">
        <v>44</v>
      </c>
      <c r="J37" s="27" t="s">
        <v>98</v>
      </c>
      <c r="K37" s="27" t="s">
        <v>99</v>
      </c>
      <c r="L37" s="27" t="s">
        <v>38</v>
      </c>
      <c r="M37" s="27" t="s">
        <v>40</v>
      </c>
      <c r="N37" s="28" t="s">
        <v>39</v>
      </c>
      <c r="O37" s="28" t="s">
        <v>39</v>
      </c>
      <c r="P37" s="29">
        <v>0.0</v>
      </c>
      <c r="Q37" s="14">
        <v>0.3333333333333333</v>
      </c>
      <c r="R37" s="29">
        <v>0.0</v>
      </c>
      <c r="S37" s="29">
        <v>0.2</v>
      </c>
      <c r="T37" s="31">
        <v>975.51</v>
      </c>
      <c r="U37" s="29">
        <v>0.0</v>
      </c>
      <c r="V37" s="29">
        <v>1.0</v>
      </c>
      <c r="W37" s="29">
        <v>1.0</v>
      </c>
      <c r="X37" s="31">
        <v>0.0</v>
      </c>
      <c r="Y37" s="28"/>
      <c r="Z37" s="32">
        <v>0.0</v>
      </c>
      <c r="AA37" s="2"/>
      <c r="AB37" s="2"/>
      <c r="AC37" s="2"/>
      <c r="AD37" s="2"/>
      <c r="AE37" s="2"/>
      <c r="AF37" s="2"/>
      <c r="AG37" s="2" t="str">
        <f>'IC Output - HUB'!$N37&amp;'IC Output - HUB'!$M37&amp;'IC Output - HUB'!$I37&amp;'IC Output - HUB'!$L37&amp;'IC Output - HUB'!$P37</f>
        <v>TerritoryMBOTrimester0</v>
      </c>
      <c r="AH37" s="2"/>
      <c r="AI37" s="2"/>
      <c r="AJ37" s="2"/>
      <c r="AK37" s="2"/>
    </row>
    <row r="38">
      <c r="A38" s="18" t="s">
        <v>27</v>
      </c>
      <c r="B38" s="19" t="s">
        <v>55</v>
      </c>
      <c r="C38" s="19" t="s">
        <v>29</v>
      </c>
      <c r="D38" s="19" t="s">
        <v>40</v>
      </c>
      <c r="E38" s="19" t="s">
        <v>41</v>
      </c>
      <c r="F38" s="19" t="s">
        <v>59</v>
      </c>
      <c r="G38" s="19" t="s">
        <v>33</v>
      </c>
      <c r="H38" s="19" t="s">
        <v>60</v>
      </c>
      <c r="I38" s="19" t="s">
        <v>61</v>
      </c>
      <c r="J38" s="19" t="s">
        <v>98</v>
      </c>
      <c r="K38" s="19" t="s">
        <v>99</v>
      </c>
      <c r="L38" s="19" t="s">
        <v>38</v>
      </c>
      <c r="M38" s="19" t="s">
        <v>30</v>
      </c>
      <c r="N38" s="19">
        <v>43553.0</v>
      </c>
      <c r="O38" s="19">
        <v>43056.0</v>
      </c>
      <c r="P38" s="21">
        <v>1.0115</v>
      </c>
      <c r="Q38" s="22">
        <v>0.3333333333333333</v>
      </c>
      <c r="R38" s="21">
        <v>1.1006</v>
      </c>
      <c r="S38" s="21">
        <v>0.4</v>
      </c>
      <c r="T38" s="24">
        <v>1951.03</v>
      </c>
      <c r="U38" s="21">
        <v>0.0</v>
      </c>
      <c r="V38" s="21">
        <v>1.0</v>
      </c>
      <c r="W38" s="21">
        <v>1.0</v>
      </c>
      <c r="X38" s="24">
        <v>2147.303618</v>
      </c>
      <c r="Y38" s="20"/>
      <c r="Z38" s="25">
        <v>2147.303618</v>
      </c>
      <c r="AA38" s="2"/>
      <c r="AB38" s="2"/>
      <c r="AC38" s="2"/>
      <c r="AD38" s="2"/>
      <c r="AE38" s="2"/>
      <c r="AF38" s="2"/>
      <c r="AG38" s="2" t="str">
        <f>'IC Output - HUB'!$N38&amp;'IC Output - HUB'!$M38&amp;'IC Output - HUB'!$I38&amp;'IC Output - HUB'!$L38&amp;'IC Output - HUB'!$P38</f>
        <v>43553NationGoal AttainmentTrimester1.0115</v>
      </c>
      <c r="AH38" s="2"/>
      <c r="AI38" s="2"/>
      <c r="AJ38" s="2"/>
      <c r="AK38" s="2"/>
    </row>
    <row r="39">
      <c r="A39" s="26" t="s">
        <v>27</v>
      </c>
      <c r="B39" s="27" t="s">
        <v>55</v>
      </c>
      <c r="C39" s="27" t="s">
        <v>29</v>
      </c>
      <c r="D39" s="27" t="s">
        <v>40</v>
      </c>
      <c r="E39" s="27" t="s">
        <v>41</v>
      </c>
      <c r="F39" s="27" t="s">
        <v>56</v>
      </c>
      <c r="G39" s="27" t="s">
        <v>33</v>
      </c>
      <c r="H39" s="27" t="s">
        <v>60</v>
      </c>
      <c r="I39" s="27" t="s">
        <v>61</v>
      </c>
      <c r="J39" s="27" t="s">
        <v>98</v>
      </c>
      <c r="K39" s="27" t="s">
        <v>99</v>
      </c>
      <c r="L39" s="27" t="s">
        <v>38</v>
      </c>
      <c r="M39" s="27" t="s">
        <v>30</v>
      </c>
      <c r="N39" s="27">
        <v>409698.1716750002</v>
      </c>
      <c r="O39" s="27">
        <v>420041.0</v>
      </c>
      <c r="P39" s="29">
        <v>0.9754</v>
      </c>
      <c r="Q39" s="14">
        <v>0.3333333333333333</v>
      </c>
      <c r="R39" s="29">
        <v>0.7582</v>
      </c>
      <c r="S39" s="29">
        <v>0.4</v>
      </c>
      <c r="T39" s="31">
        <v>1951.03</v>
      </c>
      <c r="U39" s="29">
        <v>0.0</v>
      </c>
      <c r="V39" s="29">
        <v>1.0</v>
      </c>
      <c r="W39" s="29">
        <v>1.0</v>
      </c>
      <c r="X39" s="31">
        <v>1479.2709459999999</v>
      </c>
      <c r="Y39" s="28"/>
      <c r="Z39" s="32">
        <v>1479.2709459999999</v>
      </c>
      <c r="AA39" s="2"/>
      <c r="AB39" s="2"/>
      <c r="AC39" s="2"/>
      <c r="AD39" s="2"/>
      <c r="AE39" s="2"/>
      <c r="AF39" s="2"/>
      <c r="AG39" s="2" t="str">
        <f>'IC Output - HUB'!$N39&amp;'IC Output - HUB'!$M39&amp;'IC Output - HUB'!$I39&amp;'IC Output - HUB'!$L39&amp;'IC Output - HUB'!$P39</f>
        <v>409698.171675NationGoal AttainmentTrimester0.9754</v>
      </c>
      <c r="AH39" s="2"/>
      <c r="AI39" s="2"/>
      <c r="AJ39" s="2"/>
      <c r="AK39" s="2"/>
    </row>
    <row r="40">
      <c r="A40" s="18" t="s">
        <v>27</v>
      </c>
      <c r="B40" s="19" t="s">
        <v>55</v>
      </c>
      <c r="C40" s="19" t="s">
        <v>29</v>
      </c>
      <c r="D40" s="19" t="s">
        <v>40</v>
      </c>
      <c r="E40" s="19" t="s">
        <v>41</v>
      </c>
      <c r="F40" s="19" t="s">
        <v>56</v>
      </c>
      <c r="G40" s="19" t="s">
        <v>33</v>
      </c>
      <c r="H40" s="19" t="s">
        <v>43</v>
      </c>
      <c r="I40" s="19" t="s">
        <v>44</v>
      </c>
      <c r="J40" s="19" t="s">
        <v>100</v>
      </c>
      <c r="K40" s="19" t="s">
        <v>101</v>
      </c>
      <c r="L40" s="19" t="s">
        <v>38</v>
      </c>
      <c r="M40" s="19" t="s">
        <v>40</v>
      </c>
      <c r="N40" s="20" t="s">
        <v>39</v>
      </c>
      <c r="O40" s="20" t="s">
        <v>39</v>
      </c>
      <c r="P40" s="21">
        <v>0.0</v>
      </c>
      <c r="Q40" s="22">
        <v>0.3333333333333333</v>
      </c>
      <c r="R40" s="21">
        <v>0.0</v>
      </c>
      <c r="S40" s="21">
        <v>0.2</v>
      </c>
      <c r="T40" s="24">
        <v>975.51</v>
      </c>
      <c r="U40" s="21">
        <v>0.0</v>
      </c>
      <c r="V40" s="21">
        <v>1.0</v>
      </c>
      <c r="W40" s="21">
        <v>1.0</v>
      </c>
      <c r="X40" s="24">
        <v>0.0</v>
      </c>
      <c r="Y40" s="20"/>
      <c r="Z40" s="25">
        <v>0.0</v>
      </c>
      <c r="AA40" s="2"/>
      <c r="AB40" s="2"/>
      <c r="AC40" s="2"/>
      <c r="AD40" s="2"/>
      <c r="AE40" s="2"/>
      <c r="AF40" s="2"/>
      <c r="AG40" s="2" t="str">
        <f>'IC Output - HUB'!$N40&amp;'IC Output - HUB'!$M40&amp;'IC Output - HUB'!$I40&amp;'IC Output - HUB'!$L40&amp;'IC Output - HUB'!$P40</f>
        <v>TerritoryMBOTrimester0</v>
      </c>
      <c r="AH40" s="2"/>
      <c r="AI40" s="2"/>
      <c r="AJ40" s="2"/>
      <c r="AK40" s="2"/>
    </row>
    <row r="41">
      <c r="A41" s="26" t="s">
        <v>27</v>
      </c>
      <c r="B41" s="27" t="s">
        <v>55</v>
      </c>
      <c r="C41" s="27" t="s">
        <v>29</v>
      </c>
      <c r="D41" s="27" t="s">
        <v>40</v>
      </c>
      <c r="E41" s="27" t="s">
        <v>41</v>
      </c>
      <c r="F41" s="27" t="s">
        <v>59</v>
      </c>
      <c r="G41" s="27" t="s">
        <v>33</v>
      </c>
      <c r="H41" s="27" t="s">
        <v>60</v>
      </c>
      <c r="I41" s="27" t="s">
        <v>61</v>
      </c>
      <c r="J41" s="27" t="s">
        <v>100</v>
      </c>
      <c r="K41" s="27" t="s">
        <v>101</v>
      </c>
      <c r="L41" s="27" t="s">
        <v>38</v>
      </c>
      <c r="M41" s="27" t="s">
        <v>30</v>
      </c>
      <c r="N41" s="27">
        <v>43553.0</v>
      </c>
      <c r="O41" s="27">
        <v>43056.0</v>
      </c>
      <c r="P41" s="29">
        <v>1.0115</v>
      </c>
      <c r="Q41" s="14">
        <v>0.3333333333333333</v>
      </c>
      <c r="R41" s="29">
        <v>1.1006</v>
      </c>
      <c r="S41" s="29">
        <v>0.4</v>
      </c>
      <c r="T41" s="31">
        <v>1951.03</v>
      </c>
      <c r="U41" s="29">
        <v>0.0</v>
      </c>
      <c r="V41" s="29">
        <v>1.0</v>
      </c>
      <c r="W41" s="29">
        <v>1.0</v>
      </c>
      <c r="X41" s="31">
        <v>2147.303618</v>
      </c>
      <c r="Y41" s="28"/>
      <c r="Z41" s="32">
        <v>2147.303618</v>
      </c>
      <c r="AA41" s="2"/>
      <c r="AB41" s="2"/>
      <c r="AC41" s="2"/>
      <c r="AD41" s="2"/>
      <c r="AE41" s="2"/>
      <c r="AF41" s="2"/>
      <c r="AG41" s="2" t="str">
        <f>'IC Output - HUB'!$N41&amp;'IC Output - HUB'!$M41&amp;'IC Output - HUB'!$I41&amp;'IC Output - HUB'!$L41&amp;'IC Output - HUB'!$P41</f>
        <v>43553NationGoal AttainmentTrimester1.0115</v>
      </c>
      <c r="AH41" s="2"/>
      <c r="AI41" s="2"/>
      <c r="AJ41" s="2"/>
      <c r="AK41" s="2"/>
    </row>
    <row r="42">
      <c r="A42" s="18" t="s">
        <v>27</v>
      </c>
      <c r="B42" s="19" t="s">
        <v>55</v>
      </c>
      <c r="C42" s="19" t="s">
        <v>29</v>
      </c>
      <c r="D42" s="19" t="s">
        <v>40</v>
      </c>
      <c r="E42" s="19" t="s">
        <v>41</v>
      </c>
      <c r="F42" s="19" t="s">
        <v>56</v>
      </c>
      <c r="G42" s="19" t="s">
        <v>33</v>
      </c>
      <c r="H42" s="19" t="s">
        <v>60</v>
      </c>
      <c r="I42" s="19" t="s">
        <v>61</v>
      </c>
      <c r="J42" s="19" t="s">
        <v>100</v>
      </c>
      <c r="K42" s="19" t="s">
        <v>101</v>
      </c>
      <c r="L42" s="19" t="s">
        <v>38</v>
      </c>
      <c r="M42" s="19" t="s">
        <v>30</v>
      </c>
      <c r="N42" s="19">
        <v>409698.1716750002</v>
      </c>
      <c r="O42" s="19">
        <v>420041.0</v>
      </c>
      <c r="P42" s="21">
        <v>0.9754</v>
      </c>
      <c r="Q42" s="22">
        <v>0.3333333333333333</v>
      </c>
      <c r="R42" s="21">
        <v>0.7582</v>
      </c>
      <c r="S42" s="21">
        <v>0.4</v>
      </c>
      <c r="T42" s="24">
        <v>1951.03</v>
      </c>
      <c r="U42" s="21">
        <v>0.0</v>
      </c>
      <c r="V42" s="21">
        <v>1.0</v>
      </c>
      <c r="W42" s="21">
        <v>1.0</v>
      </c>
      <c r="X42" s="24">
        <v>1479.2709459999999</v>
      </c>
      <c r="Y42" s="20"/>
      <c r="Z42" s="25">
        <v>1479.2709459999999</v>
      </c>
      <c r="AA42" s="2"/>
      <c r="AB42" s="2"/>
      <c r="AC42" s="2"/>
      <c r="AD42" s="2"/>
      <c r="AE42" s="2"/>
      <c r="AF42" s="2"/>
      <c r="AG42" s="2" t="str">
        <f>'IC Output - HUB'!$N42&amp;'IC Output - HUB'!$M42&amp;'IC Output - HUB'!$I42&amp;'IC Output - HUB'!$L42&amp;'IC Output - HUB'!$P42</f>
        <v>409698.171675NationGoal AttainmentTrimester0.9754</v>
      </c>
      <c r="AH42" s="2"/>
      <c r="AI42" s="2"/>
      <c r="AJ42" s="2"/>
      <c r="AK42" s="2"/>
    </row>
    <row r="43">
      <c r="A43" s="26" t="s">
        <v>27</v>
      </c>
      <c r="B43" s="27" t="s">
        <v>55</v>
      </c>
      <c r="C43" s="27" t="s">
        <v>29</v>
      </c>
      <c r="D43" s="27" t="s">
        <v>40</v>
      </c>
      <c r="E43" s="27" t="s">
        <v>41</v>
      </c>
      <c r="F43" s="27" t="s">
        <v>56</v>
      </c>
      <c r="G43" s="27" t="s">
        <v>33</v>
      </c>
      <c r="H43" s="27" t="s">
        <v>43</v>
      </c>
      <c r="I43" s="27" t="s">
        <v>44</v>
      </c>
      <c r="J43" s="27" t="s">
        <v>102</v>
      </c>
      <c r="K43" s="27" t="s">
        <v>103</v>
      </c>
      <c r="L43" s="27" t="s">
        <v>38</v>
      </c>
      <c r="M43" s="27" t="s">
        <v>40</v>
      </c>
      <c r="N43" s="28" t="s">
        <v>39</v>
      </c>
      <c r="O43" s="28" t="s">
        <v>39</v>
      </c>
      <c r="P43" s="29">
        <v>0.0</v>
      </c>
      <c r="Q43" s="14">
        <v>0.3333333333333333</v>
      </c>
      <c r="R43" s="29">
        <v>0.0</v>
      </c>
      <c r="S43" s="29">
        <v>0.2</v>
      </c>
      <c r="T43" s="31">
        <v>975.51</v>
      </c>
      <c r="U43" s="29">
        <v>0.0</v>
      </c>
      <c r="V43" s="29">
        <v>1.0</v>
      </c>
      <c r="W43" s="29">
        <v>1.0</v>
      </c>
      <c r="X43" s="31">
        <v>0.0</v>
      </c>
      <c r="Y43" s="28"/>
      <c r="Z43" s="32">
        <v>0.0</v>
      </c>
      <c r="AA43" s="2"/>
      <c r="AB43" s="2"/>
      <c r="AC43" s="2"/>
      <c r="AD43" s="2"/>
      <c r="AE43" s="2"/>
      <c r="AF43" s="2"/>
      <c r="AG43" s="2" t="str">
        <f>'IC Output - HUB'!$N43&amp;'IC Output - HUB'!$M43&amp;'IC Output - HUB'!$I43&amp;'IC Output - HUB'!$L43&amp;'IC Output - HUB'!$P43</f>
        <v>TerritoryMBOTrimester0</v>
      </c>
      <c r="AH43" s="2"/>
      <c r="AI43" s="2"/>
      <c r="AJ43" s="2"/>
      <c r="AK43" s="2"/>
    </row>
    <row r="44">
      <c r="A44" s="18" t="s">
        <v>27</v>
      </c>
      <c r="B44" s="19" t="s">
        <v>55</v>
      </c>
      <c r="C44" s="19" t="s">
        <v>29</v>
      </c>
      <c r="D44" s="19" t="s">
        <v>40</v>
      </c>
      <c r="E44" s="19" t="s">
        <v>41</v>
      </c>
      <c r="F44" s="19" t="s">
        <v>59</v>
      </c>
      <c r="G44" s="19" t="s">
        <v>33</v>
      </c>
      <c r="H44" s="19" t="s">
        <v>60</v>
      </c>
      <c r="I44" s="19" t="s">
        <v>61</v>
      </c>
      <c r="J44" s="19" t="s">
        <v>102</v>
      </c>
      <c r="K44" s="19" t="s">
        <v>103</v>
      </c>
      <c r="L44" s="19" t="s">
        <v>38</v>
      </c>
      <c r="M44" s="19" t="s">
        <v>30</v>
      </c>
      <c r="N44" s="19">
        <v>43553.0</v>
      </c>
      <c r="O44" s="19">
        <v>43056.0</v>
      </c>
      <c r="P44" s="21">
        <v>1.0115</v>
      </c>
      <c r="Q44" s="22">
        <v>0.3333333333333333</v>
      </c>
      <c r="R44" s="21">
        <v>1.1006</v>
      </c>
      <c r="S44" s="21">
        <v>0.4</v>
      </c>
      <c r="T44" s="24">
        <v>1951.03</v>
      </c>
      <c r="U44" s="21">
        <v>0.0</v>
      </c>
      <c r="V44" s="21">
        <v>1.0</v>
      </c>
      <c r="W44" s="21">
        <v>1.0</v>
      </c>
      <c r="X44" s="24">
        <v>2147.303618</v>
      </c>
      <c r="Y44" s="20"/>
      <c r="Z44" s="25">
        <v>2147.303618</v>
      </c>
      <c r="AA44" s="2"/>
      <c r="AB44" s="2"/>
      <c r="AC44" s="2"/>
      <c r="AD44" s="2"/>
      <c r="AE44" s="2"/>
      <c r="AF44" s="2"/>
      <c r="AG44" s="2" t="str">
        <f>'IC Output - HUB'!$N44&amp;'IC Output - HUB'!$M44&amp;'IC Output - HUB'!$I44&amp;'IC Output - HUB'!$L44&amp;'IC Output - HUB'!$P44</f>
        <v>43553NationGoal AttainmentTrimester1.0115</v>
      </c>
      <c r="AH44" s="2"/>
      <c r="AI44" s="2"/>
      <c r="AJ44" s="2"/>
      <c r="AK44" s="2"/>
    </row>
    <row r="45">
      <c r="A45" s="26" t="s">
        <v>27</v>
      </c>
      <c r="B45" s="27" t="s">
        <v>55</v>
      </c>
      <c r="C45" s="27" t="s">
        <v>29</v>
      </c>
      <c r="D45" s="27" t="s">
        <v>40</v>
      </c>
      <c r="E45" s="27" t="s">
        <v>41</v>
      </c>
      <c r="F45" s="27" t="s">
        <v>56</v>
      </c>
      <c r="G45" s="27" t="s">
        <v>33</v>
      </c>
      <c r="H45" s="27" t="s">
        <v>60</v>
      </c>
      <c r="I45" s="27" t="s">
        <v>61</v>
      </c>
      <c r="J45" s="27" t="s">
        <v>102</v>
      </c>
      <c r="K45" s="27" t="s">
        <v>103</v>
      </c>
      <c r="L45" s="27" t="s">
        <v>38</v>
      </c>
      <c r="M45" s="27" t="s">
        <v>30</v>
      </c>
      <c r="N45" s="27">
        <v>409698.1716750002</v>
      </c>
      <c r="O45" s="27">
        <v>420041.0</v>
      </c>
      <c r="P45" s="29">
        <v>0.9754</v>
      </c>
      <c r="Q45" s="14">
        <v>0.3333333333333333</v>
      </c>
      <c r="R45" s="29">
        <v>0.7582</v>
      </c>
      <c r="S45" s="29">
        <v>0.4</v>
      </c>
      <c r="T45" s="31">
        <v>1951.03</v>
      </c>
      <c r="U45" s="29">
        <v>0.0</v>
      </c>
      <c r="V45" s="29">
        <v>1.0</v>
      </c>
      <c r="W45" s="29">
        <v>1.0</v>
      </c>
      <c r="X45" s="31">
        <v>1479.2709459999999</v>
      </c>
      <c r="Y45" s="28"/>
      <c r="Z45" s="32">
        <v>1479.2709459999999</v>
      </c>
      <c r="AA45" s="2"/>
      <c r="AB45" s="2"/>
      <c r="AC45" s="2"/>
      <c r="AD45" s="2"/>
      <c r="AE45" s="2"/>
      <c r="AF45" s="2"/>
      <c r="AG45" s="2" t="str">
        <f>'IC Output - HUB'!$N45&amp;'IC Output - HUB'!$M45&amp;'IC Output - HUB'!$I45&amp;'IC Output - HUB'!$L45&amp;'IC Output - HUB'!$P45</f>
        <v>409698.171675NationGoal AttainmentTrimester0.9754</v>
      </c>
      <c r="AH45" s="2"/>
      <c r="AI45" s="2"/>
      <c r="AJ45" s="2"/>
      <c r="AK45" s="2"/>
    </row>
    <row r="46">
      <c r="A46" s="18" t="s">
        <v>27</v>
      </c>
      <c r="B46" s="19" t="s">
        <v>55</v>
      </c>
      <c r="C46" s="19" t="s">
        <v>29</v>
      </c>
      <c r="D46" s="19" t="s">
        <v>40</v>
      </c>
      <c r="E46" s="19" t="s">
        <v>41</v>
      </c>
      <c r="F46" s="19" t="s">
        <v>56</v>
      </c>
      <c r="G46" s="19" t="s">
        <v>33</v>
      </c>
      <c r="H46" s="19" t="s">
        <v>43</v>
      </c>
      <c r="I46" s="19" t="s">
        <v>44</v>
      </c>
      <c r="J46" s="19" t="s">
        <v>104</v>
      </c>
      <c r="K46" s="19" t="s">
        <v>105</v>
      </c>
      <c r="L46" s="19" t="s">
        <v>38</v>
      </c>
      <c r="M46" s="19" t="s">
        <v>40</v>
      </c>
      <c r="N46" s="20" t="s">
        <v>39</v>
      </c>
      <c r="O46" s="20" t="s">
        <v>39</v>
      </c>
      <c r="P46" s="21">
        <v>0.0</v>
      </c>
      <c r="Q46" s="22">
        <v>0.3333333333333333</v>
      </c>
      <c r="R46" s="21">
        <v>0.0</v>
      </c>
      <c r="S46" s="21">
        <v>0.2</v>
      </c>
      <c r="T46" s="24">
        <v>975.51</v>
      </c>
      <c r="U46" s="21">
        <v>0.0</v>
      </c>
      <c r="V46" s="21">
        <v>0.0</v>
      </c>
      <c r="W46" s="21">
        <v>0.0</v>
      </c>
      <c r="X46" s="24">
        <v>0.0</v>
      </c>
      <c r="Y46" s="20"/>
      <c r="Z46" s="25">
        <v>0.0</v>
      </c>
      <c r="AA46" s="2"/>
      <c r="AB46" s="2"/>
      <c r="AC46" s="2"/>
      <c r="AD46" s="2"/>
      <c r="AE46" s="2"/>
      <c r="AF46" s="2"/>
      <c r="AG46" s="2" t="str">
        <f>'IC Output - HUB'!$N46&amp;'IC Output - HUB'!$M46&amp;'IC Output - HUB'!$I46&amp;'IC Output - HUB'!$L46&amp;'IC Output - HUB'!$P46</f>
        <v>TerritoryMBOTrimester0</v>
      </c>
      <c r="AH46" s="2"/>
      <c r="AI46" s="2"/>
      <c r="AJ46" s="2"/>
      <c r="AK46" s="2"/>
    </row>
    <row r="47">
      <c r="A47" s="26" t="s">
        <v>27</v>
      </c>
      <c r="B47" s="27" t="s">
        <v>55</v>
      </c>
      <c r="C47" s="27" t="s">
        <v>29</v>
      </c>
      <c r="D47" s="27" t="s">
        <v>40</v>
      </c>
      <c r="E47" s="27" t="s">
        <v>41</v>
      </c>
      <c r="F47" s="27" t="s">
        <v>59</v>
      </c>
      <c r="G47" s="27" t="s">
        <v>33</v>
      </c>
      <c r="H47" s="27" t="s">
        <v>60</v>
      </c>
      <c r="I47" s="27" t="s">
        <v>61</v>
      </c>
      <c r="J47" s="27" t="s">
        <v>104</v>
      </c>
      <c r="K47" s="27" t="s">
        <v>105</v>
      </c>
      <c r="L47" s="27" t="s">
        <v>38</v>
      </c>
      <c r="M47" s="27" t="s">
        <v>30</v>
      </c>
      <c r="N47" s="27">
        <v>43553.0</v>
      </c>
      <c r="O47" s="27">
        <v>43056.0</v>
      </c>
      <c r="P47" s="29">
        <v>1.0115</v>
      </c>
      <c r="Q47" s="14">
        <v>0.3333333333333333</v>
      </c>
      <c r="R47" s="29">
        <v>1.1006</v>
      </c>
      <c r="S47" s="29">
        <v>0.4</v>
      </c>
      <c r="T47" s="31">
        <v>1951.03</v>
      </c>
      <c r="U47" s="29">
        <v>0.0</v>
      </c>
      <c r="V47" s="29">
        <v>0.0</v>
      </c>
      <c r="W47" s="29">
        <v>0.0</v>
      </c>
      <c r="X47" s="31">
        <v>2147.303618</v>
      </c>
      <c r="Y47" s="28"/>
      <c r="Z47" s="32">
        <v>0.0</v>
      </c>
      <c r="AA47" s="2"/>
      <c r="AB47" s="2"/>
      <c r="AC47" s="2"/>
      <c r="AD47" s="2"/>
      <c r="AE47" s="2"/>
      <c r="AF47" s="2"/>
      <c r="AG47" s="2" t="str">
        <f>'IC Output - HUB'!$N47&amp;'IC Output - HUB'!$M47&amp;'IC Output - HUB'!$I47&amp;'IC Output - HUB'!$L47&amp;'IC Output - HUB'!$P47</f>
        <v>43553NationGoal AttainmentTrimester1.0115</v>
      </c>
      <c r="AH47" s="2"/>
      <c r="AI47" s="2"/>
      <c r="AJ47" s="2"/>
      <c r="AK47" s="2"/>
    </row>
    <row r="48">
      <c r="A48" s="18" t="s">
        <v>27</v>
      </c>
      <c r="B48" s="19" t="s">
        <v>55</v>
      </c>
      <c r="C48" s="19" t="s">
        <v>29</v>
      </c>
      <c r="D48" s="19" t="s">
        <v>40</v>
      </c>
      <c r="E48" s="19" t="s">
        <v>41</v>
      </c>
      <c r="F48" s="19" t="s">
        <v>56</v>
      </c>
      <c r="G48" s="19" t="s">
        <v>33</v>
      </c>
      <c r="H48" s="19" t="s">
        <v>60</v>
      </c>
      <c r="I48" s="19" t="s">
        <v>61</v>
      </c>
      <c r="J48" s="19" t="s">
        <v>104</v>
      </c>
      <c r="K48" s="19" t="s">
        <v>105</v>
      </c>
      <c r="L48" s="19" t="s">
        <v>38</v>
      </c>
      <c r="M48" s="19" t="s">
        <v>30</v>
      </c>
      <c r="N48" s="19">
        <v>409698.1716750002</v>
      </c>
      <c r="O48" s="19">
        <v>420041.0</v>
      </c>
      <c r="P48" s="21">
        <v>0.9754</v>
      </c>
      <c r="Q48" s="22">
        <v>0.3333333333333333</v>
      </c>
      <c r="R48" s="21">
        <v>0.7582</v>
      </c>
      <c r="S48" s="21">
        <v>0.4</v>
      </c>
      <c r="T48" s="24">
        <v>1951.03</v>
      </c>
      <c r="U48" s="21">
        <v>0.0</v>
      </c>
      <c r="V48" s="21">
        <v>0.0</v>
      </c>
      <c r="W48" s="21">
        <v>0.0</v>
      </c>
      <c r="X48" s="24">
        <v>1479.2709459999999</v>
      </c>
      <c r="Y48" s="20"/>
      <c r="Z48" s="25">
        <v>0.0</v>
      </c>
      <c r="AA48" s="2"/>
      <c r="AB48" s="2"/>
      <c r="AC48" s="2"/>
      <c r="AD48" s="2"/>
      <c r="AE48" s="2"/>
      <c r="AF48" s="2"/>
      <c r="AG48" s="2" t="str">
        <f>'IC Output - HUB'!$N48&amp;'IC Output - HUB'!$M48&amp;'IC Output - HUB'!$I48&amp;'IC Output - HUB'!$L48&amp;'IC Output - HUB'!$P48</f>
        <v>409698.171675NationGoal AttainmentTrimester0.9754</v>
      </c>
      <c r="AH48" s="2"/>
      <c r="AI48" s="2"/>
      <c r="AJ48" s="2"/>
      <c r="AK48" s="2"/>
    </row>
    <row r="49">
      <c r="A49" s="26" t="s">
        <v>27</v>
      </c>
      <c r="B49" s="27" t="s">
        <v>55</v>
      </c>
      <c r="C49" s="27" t="s">
        <v>29</v>
      </c>
      <c r="D49" s="27" t="s">
        <v>40</v>
      </c>
      <c r="E49" s="27" t="s">
        <v>41</v>
      </c>
      <c r="F49" s="27" t="s">
        <v>56</v>
      </c>
      <c r="G49" s="27" t="s">
        <v>33</v>
      </c>
      <c r="H49" s="27" t="s">
        <v>43</v>
      </c>
      <c r="I49" s="27" t="s">
        <v>44</v>
      </c>
      <c r="J49" s="27" t="s">
        <v>106</v>
      </c>
      <c r="K49" s="27" t="s">
        <v>107</v>
      </c>
      <c r="L49" s="27" t="s">
        <v>38</v>
      </c>
      <c r="M49" s="27" t="s">
        <v>40</v>
      </c>
      <c r="N49" s="28" t="s">
        <v>39</v>
      </c>
      <c r="O49" s="28" t="s">
        <v>39</v>
      </c>
      <c r="P49" s="29">
        <v>0.0</v>
      </c>
      <c r="Q49" s="14">
        <v>0.3333333333333333</v>
      </c>
      <c r="R49" s="29">
        <v>0.0</v>
      </c>
      <c r="S49" s="29">
        <v>0.2</v>
      </c>
      <c r="T49" s="31">
        <v>975.51</v>
      </c>
      <c r="U49" s="29">
        <v>0.0</v>
      </c>
      <c r="V49" s="29">
        <v>1.0</v>
      </c>
      <c r="W49" s="29">
        <v>1.0</v>
      </c>
      <c r="X49" s="31">
        <v>0.0</v>
      </c>
      <c r="Y49" s="28"/>
      <c r="Z49" s="32">
        <v>0.0</v>
      </c>
      <c r="AA49" s="2"/>
      <c r="AB49" s="2"/>
      <c r="AC49" s="2"/>
      <c r="AD49" s="2"/>
      <c r="AE49" s="2"/>
      <c r="AF49" s="2"/>
      <c r="AG49" s="2" t="str">
        <f>'IC Output - HUB'!$N49&amp;'IC Output - HUB'!$M49&amp;'IC Output - HUB'!$I49&amp;'IC Output - HUB'!$L49&amp;'IC Output - HUB'!$P49</f>
        <v>TerritoryMBOTrimester0</v>
      </c>
      <c r="AH49" s="2"/>
      <c r="AI49" s="2"/>
      <c r="AJ49" s="2"/>
      <c r="AK49" s="2"/>
    </row>
    <row r="50">
      <c r="A50" s="18" t="s">
        <v>27</v>
      </c>
      <c r="B50" s="19" t="s">
        <v>55</v>
      </c>
      <c r="C50" s="19" t="s">
        <v>29</v>
      </c>
      <c r="D50" s="19" t="s">
        <v>40</v>
      </c>
      <c r="E50" s="19" t="s">
        <v>41</v>
      </c>
      <c r="F50" s="19" t="s">
        <v>59</v>
      </c>
      <c r="G50" s="19" t="s">
        <v>33</v>
      </c>
      <c r="H50" s="19" t="s">
        <v>60</v>
      </c>
      <c r="I50" s="19" t="s">
        <v>61</v>
      </c>
      <c r="J50" s="19" t="s">
        <v>106</v>
      </c>
      <c r="K50" s="19" t="s">
        <v>107</v>
      </c>
      <c r="L50" s="19" t="s">
        <v>38</v>
      </c>
      <c r="M50" s="19" t="s">
        <v>30</v>
      </c>
      <c r="N50" s="19">
        <v>43553.0</v>
      </c>
      <c r="O50" s="19">
        <v>43056.0</v>
      </c>
      <c r="P50" s="21">
        <v>1.0115</v>
      </c>
      <c r="Q50" s="22">
        <v>0.3333333333333333</v>
      </c>
      <c r="R50" s="21">
        <v>1.1006</v>
      </c>
      <c r="S50" s="21">
        <v>0.4</v>
      </c>
      <c r="T50" s="24">
        <v>1951.03</v>
      </c>
      <c r="U50" s="21">
        <v>0.0</v>
      </c>
      <c r="V50" s="21">
        <v>1.0</v>
      </c>
      <c r="W50" s="21">
        <v>1.0</v>
      </c>
      <c r="X50" s="24">
        <v>2147.303618</v>
      </c>
      <c r="Y50" s="20"/>
      <c r="Z50" s="25">
        <v>2147.303618</v>
      </c>
      <c r="AA50" s="2"/>
      <c r="AB50" s="2"/>
      <c r="AC50" s="2"/>
      <c r="AD50" s="2"/>
      <c r="AE50" s="2"/>
      <c r="AF50" s="2"/>
      <c r="AG50" s="2" t="str">
        <f>'IC Output - HUB'!$N50&amp;'IC Output - HUB'!$M50&amp;'IC Output - HUB'!$I50&amp;'IC Output - HUB'!$L50&amp;'IC Output - HUB'!$P50</f>
        <v>43553NationGoal AttainmentTrimester1.0115</v>
      </c>
      <c r="AH50" s="2"/>
      <c r="AI50" s="2"/>
      <c r="AJ50" s="2"/>
      <c r="AK50" s="2"/>
    </row>
    <row r="51">
      <c r="A51" s="26" t="s">
        <v>27</v>
      </c>
      <c r="B51" s="27" t="s">
        <v>55</v>
      </c>
      <c r="C51" s="27" t="s">
        <v>29</v>
      </c>
      <c r="D51" s="27" t="s">
        <v>40</v>
      </c>
      <c r="E51" s="27" t="s">
        <v>41</v>
      </c>
      <c r="F51" s="27" t="s">
        <v>56</v>
      </c>
      <c r="G51" s="27" t="s">
        <v>33</v>
      </c>
      <c r="H51" s="27" t="s">
        <v>60</v>
      </c>
      <c r="I51" s="27" t="s">
        <v>61</v>
      </c>
      <c r="J51" s="27" t="s">
        <v>106</v>
      </c>
      <c r="K51" s="27" t="s">
        <v>107</v>
      </c>
      <c r="L51" s="27" t="s">
        <v>38</v>
      </c>
      <c r="M51" s="27" t="s">
        <v>30</v>
      </c>
      <c r="N51" s="27">
        <v>409698.1716750002</v>
      </c>
      <c r="O51" s="27">
        <v>420041.0</v>
      </c>
      <c r="P51" s="29">
        <v>0.9754</v>
      </c>
      <c r="Q51" s="14">
        <v>0.3333333333333333</v>
      </c>
      <c r="R51" s="29">
        <v>0.7582</v>
      </c>
      <c r="S51" s="29">
        <v>0.4</v>
      </c>
      <c r="T51" s="31">
        <v>1951.03</v>
      </c>
      <c r="U51" s="29">
        <v>0.0</v>
      </c>
      <c r="V51" s="29">
        <v>1.0</v>
      </c>
      <c r="W51" s="29">
        <v>1.0</v>
      </c>
      <c r="X51" s="31">
        <v>1479.2709459999999</v>
      </c>
      <c r="Y51" s="28"/>
      <c r="Z51" s="32">
        <v>1479.2709459999999</v>
      </c>
      <c r="AA51" s="2"/>
      <c r="AB51" s="2"/>
      <c r="AC51" s="2"/>
      <c r="AD51" s="2"/>
      <c r="AE51" s="2"/>
      <c r="AF51" s="2"/>
      <c r="AG51" s="2" t="str">
        <f>'IC Output - HUB'!$N51&amp;'IC Output - HUB'!$M51&amp;'IC Output - HUB'!$I51&amp;'IC Output - HUB'!$L51&amp;'IC Output - HUB'!$P51</f>
        <v>409698.171675NationGoal AttainmentTrimester0.9754</v>
      </c>
      <c r="AH51" s="2"/>
      <c r="AI51" s="2"/>
      <c r="AJ51" s="2"/>
      <c r="AK51" s="2"/>
    </row>
    <row r="52">
      <c r="A52" s="18" t="s">
        <v>27</v>
      </c>
      <c r="B52" s="19" t="s">
        <v>55</v>
      </c>
      <c r="C52" s="19" t="s">
        <v>29</v>
      </c>
      <c r="D52" s="19" t="s">
        <v>40</v>
      </c>
      <c r="E52" s="19" t="s">
        <v>41</v>
      </c>
      <c r="F52" s="19" t="s">
        <v>56</v>
      </c>
      <c r="G52" s="19" t="s">
        <v>33</v>
      </c>
      <c r="H52" s="19" t="s">
        <v>43</v>
      </c>
      <c r="I52" s="19" t="s">
        <v>44</v>
      </c>
      <c r="J52" s="19" t="s">
        <v>108</v>
      </c>
      <c r="K52" s="19" t="s">
        <v>109</v>
      </c>
      <c r="L52" s="19" t="s">
        <v>38</v>
      </c>
      <c r="M52" s="19" t="s">
        <v>40</v>
      </c>
      <c r="N52" s="20" t="s">
        <v>39</v>
      </c>
      <c r="O52" s="20" t="s">
        <v>39</v>
      </c>
      <c r="P52" s="21">
        <v>0.0</v>
      </c>
      <c r="Q52" s="22">
        <v>0.3333333333333333</v>
      </c>
      <c r="R52" s="21">
        <v>0.0</v>
      </c>
      <c r="S52" s="21">
        <v>0.2</v>
      </c>
      <c r="T52" s="24">
        <v>975.51</v>
      </c>
      <c r="U52" s="21">
        <v>0.0</v>
      </c>
      <c r="V52" s="21">
        <v>1.0</v>
      </c>
      <c r="W52" s="21">
        <v>1.0</v>
      </c>
      <c r="X52" s="24">
        <v>0.0</v>
      </c>
      <c r="Y52" s="20"/>
      <c r="Z52" s="25">
        <v>0.0</v>
      </c>
      <c r="AA52" s="2"/>
      <c r="AB52" s="2"/>
      <c r="AC52" s="2"/>
      <c r="AD52" s="2"/>
      <c r="AE52" s="2"/>
      <c r="AF52" s="2"/>
      <c r="AG52" s="2" t="str">
        <f>'IC Output - HUB'!$N52&amp;'IC Output - HUB'!$M52&amp;'IC Output - HUB'!$I52&amp;'IC Output - HUB'!$L52&amp;'IC Output - HUB'!$P52</f>
        <v>TerritoryMBOTrimester0</v>
      </c>
      <c r="AH52" s="2"/>
      <c r="AI52" s="2"/>
      <c r="AJ52" s="2"/>
      <c r="AK52" s="2"/>
    </row>
    <row r="53">
      <c r="A53" s="26" t="s">
        <v>27</v>
      </c>
      <c r="B53" s="27" t="s">
        <v>55</v>
      </c>
      <c r="C53" s="27" t="s">
        <v>29</v>
      </c>
      <c r="D53" s="27" t="s">
        <v>40</v>
      </c>
      <c r="E53" s="27" t="s">
        <v>41</v>
      </c>
      <c r="F53" s="27" t="s">
        <v>59</v>
      </c>
      <c r="G53" s="27" t="s">
        <v>33</v>
      </c>
      <c r="H53" s="27" t="s">
        <v>60</v>
      </c>
      <c r="I53" s="27" t="s">
        <v>61</v>
      </c>
      <c r="J53" s="27" t="s">
        <v>108</v>
      </c>
      <c r="K53" s="27" t="s">
        <v>109</v>
      </c>
      <c r="L53" s="27" t="s">
        <v>38</v>
      </c>
      <c r="M53" s="27" t="s">
        <v>30</v>
      </c>
      <c r="N53" s="27">
        <v>43553.0</v>
      </c>
      <c r="O53" s="27">
        <v>43056.0</v>
      </c>
      <c r="P53" s="29">
        <v>1.0115</v>
      </c>
      <c r="Q53" s="14">
        <v>0.3333333333333333</v>
      </c>
      <c r="R53" s="29">
        <v>1.1006</v>
      </c>
      <c r="S53" s="29">
        <v>0.4</v>
      </c>
      <c r="T53" s="31">
        <v>1951.03</v>
      </c>
      <c r="U53" s="29">
        <v>0.0</v>
      </c>
      <c r="V53" s="29">
        <v>1.0</v>
      </c>
      <c r="W53" s="29">
        <v>1.0</v>
      </c>
      <c r="X53" s="31">
        <v>2147.303618</v>
      </c>
      <c r="Y53" s="28"/>
      <c r="Z53" s="32">
        <v>2147.303618</v>
      </c>
      <c r="AA53" s="2"/>
      <c r="AB53" s="2"/>
      <c r="AC53" s="2"/>
      <c r="AD53" s="2"/>
      <c r="AE53" s="2"/>
      <c r="AF53" s="2"/>
      <c r="AG53" s="2" t="str">
        <f>'IC Output - HUB'!$N53&amp;'IC Output - HUB'!$M53&amp;'IC Output - HUB'!$I53&amp;'IC Output - HUB'!$L53&amp;'IC Output - HUB'!$P53</f>
        <v>43553NationGoal AttainmentTrimester1.0115</v>
      </c>
      <c r="AH53" s="2"/>
      <c r="AI53" s="2"/>
      <c r="AJ53" s="2"/>
      <c r="AK53" s="2"/>
    </row>
    <row r="54">
      <c r="A54" s="18" t="s">
        <v>27</v>
      </c>
      <c r="B54" s="19" t="s">
        <v>55</v>
      </c>
      <c r="C54" s="19" t="s">
        <v>29</v>
      </c>
      <c r="D54" s="19" t="s">
        <v>40</v>
      </c>
      <c r="E54" s="19" t="s">
        <v>41</v>
      </c>
      <c r="F54" s="19" t="s">
        <v>56</v>
      </c>
      <c r="G54" s="19" t="s">
        <v>33</v>
      </c>
      <c r="H54" s="19" t="s">
        <v>60</v>
      </c>
      <c r="I54" s="19" t="s">
        <v>61</v>
      </c>
      <c r="J54" s="19" t="s">
        <v>108</v>
      </c>
      <c r="K54" s="19" t="s">
        <v>109</v>
      </c>
      <c r="L54" s="19" t="s">
        <v>38</v>
      </c>
      <c r="M54" s="19" t="s">
        <v>30</v>
      </c>
      <c r="N54" s="19">
        <v>409698.1716750002</v>
      </c>
      <c r="O54" s="19">
        <v>420041.0</v>
      </c>
      <c r="P54" s="21">
        <v>0.9754</v>
      </c>
      <c r="Q54" s="22">
        <v>0.3333333333333333</v>
      </c>
      <c r="R54" s="21">
        <v>0.7582</v>
      </c>
      <c r="S54" s="21">
        <v>0.4</v>
      </c>
      <c r="T54" s="24">
        <v>1951.03</v>
      </c>
      <c r="U54" s="21">
        <v>0.0</v>
      </c>
      <c r="V54" s="21">
        <v>1.0</v>
      </c>
      <c r="W54" s="21">
        <v>1.0</v>
      </c>
      <c r="X54" s="24">
        <v>1479.2709459999999</v>
      </c>
      <c r="Y54" s="20"/>
      <c r="Z54" s="25">
        <v>1479.2709459999999</v>
      </c>
      <c r="AA54" s="2"/>
      <c r="AB54" s="2"/>
      <c r="AC54" s="2"/>
      <c r="AD54" s="2"/>
      <c r="AE54" s="2"/>
      <c r="AF54" s="2"/>
      <c r="AG54" s="2" t="str">
        <f>'IC Output - HUB'!$N54&amp;'IC Output - HUB'!$M54&amp;'IC Output - HUB'!$I54&amp;'IC Output - HUB'!$L54&amp;'IC Output - HUB'!$P54</f>
        <v>409698.171675NationGoal AttainmentTrimester0.9754</v>
      </c>
      <c r="AH54" s="2"/>
      <c r="AI54" s="2"/>
      <c r="AJ54" s="2"/>
      <c r="AK54" s="2"/>
    </row>
    <row r="55">
      <c r="A55" s="26" t="s">
        <v>27</v>
      </c>
      <c r="B55" s="27" t="s">
        <v>55</v>
      </c>
      <c r="C55" s="27" t="s">
        <v>29</v>
      </c>
      <c r="D55" s="27" t="s">
        <v>40</v>
      </c>
      <c r="E55" s="27" t="s">
        <v>41</v>
      </c>
      <c r="F55" s="27" t="s">
        <v>56</v>
      </c>
      <c r="G55" s="27" t="s">
        <v>33</v>
      </c>
      <c r="H55" s="27" t="s">
        <v>43</v>
      </c>
      <c r="I55" s="27" t="s">
        <v>44</v>
      </c>
      <c r="J55" s="27" t="s">
        <v>110</v>
      </c>
      <c r="K55" s="27" t="s">
        <v>111</v>
      </c>
      <c r="L55" s="27" t="s">
        <v>38</v>
      </c>
      <c r="M55" s="27" t="s">
        <v>40</v>
      </c>
      <c r="N55" s="28" t="s">
        <v>39</v>
      </c>
      <c r="O55" s="28" t="s">
        <v>39</v>
      </c>
      <c r="P55" s="29">
        <v>0.0</v>
      </c>
      <c r="Q55" s="14">
        <v>0.3333333333333333</v>
      </c>
      <c r="R55" s="29">
        <v>0.0</v>
      </c>
      <c r="S55" s="29">
        <v>0.2</v>
      </c>
      <c r="T55" s="31">
        <v>975.51</v>
      </c>
      <c r="U55" s="29">
        <v>0.0</v>
      </c>
      <c r="V55" s="29">
        <v>1.0</v>
      </c>
      <c r="W55" s="29">
        <v>1.0</v>
      </c>
      <c r="X55" s="31">
        <v>0.0</v>
      </c>
      <c r="Y55" s="28"/>
      <c r="Z55" s="32">
        <v>0.0</v>
      </c>
      <c r="AA55" s="2"/>
      <c r="AB55" s="2"/>
      <c r="AC55" s="2"/>
      <c r="AD55" s="2"/>
      <c r="AE55" s="2"/>
      <c r="AF55" s="2"/>
      <c r="AG55" s="2" t="str">
        <f>'IC Output - HUB'!$N55&amp;'IC Output - HUB'!$M55&amp;'IC Output - HUB'!$I55&amp;'IC Output - HUB'!$L55&amp;'IC Output - HUB'!$P55</f>
        <v>TerritoryMBOTrimester0</v>
      </c>
      <c r="AH55" s="2"/>
      <c r="AI55" s="2"/>
      <c r="AJ55" s="2"/>
      <c r="AK55" s="2"/>
    </row>
    <row r="56">
      <c r="A56" s="18" t="s">
        <v>27</v>
      </c>
      <c r="B56" s="19" t="s">
        <v>55</v>
      </c>
      <c r="C56" s="19" t="s">
        <v>29</v>
      </c>
      <c r="D56" s="19" t="s">
        <v>40</v>
      </c>
      <c r="E56" s="19" t="s">
        <v>41</v>
      </c>
      <c r="F56" s="19" t="s">
        <v>59</v>
      </c>
      <c r="G56" s="19" t="s">
        <v>33</v>
      </c>
      <c r="H56" s="19" t="s">
        <v>60</v>
      </c>
      <c r="I56" s="19" t="s">
        <v>61</v>
      </c>
      <c r="J56" s="19" t="s">
        <v>110</v>
      </c>
      <c r="K56" s="19" t="s">
        <v>111</v>
      </c>
      <c r="L56" s="19" t="s">
        <v>38</v>
      </c>
      <c r="M56" s="19" t="s">
        <v>30</v>
      </c>
      <c r="N56" s="19">
        <v>43553.0</v>
      </c>
      <c r="O56" s="19">
        <v>43056.0</v>
      </c>
      <c r="P56" s="21">
        <v>1.0115</v>
      </c>
      <c r="Q56" s="22">
        <v>0.3333333333333333</v>
      </c>
      <c r="R56" s="21">
        <v>1.1006</v>
      </c>
      <c r="S56" s="21">
        <v>0.4</v>
      </c>
      <c r="T56" s="24">
        <v>1951.03</v>
      </c>
      <c r="U56" s="21">
        <v>0.0</v>
      </c>
      <c r="V56" s="21">
        <v>1.0</v>
      </c>
      <c r="W56" s="21">
        <v>1.0</v>
      </c>
      <c r="X56" s="24">
        <v>2147.303618</v>
      </c>
      <c r="Y56" s="20"/>
      <c r="Z56" s="25">
        <v>2147.303618</v>
      </c>
      <c r="AA56" s="2"/>
      <c r="AB56" s="2"/>
      <c r="AC56" s="2"/>
      <c r="AD56" s="2"/>
      <c r="AE56" s="2"/>
      <c r="AF56" s="2"/>
      <c r="AG56" s="2" t="str">
        <f>'IC Output - HUB'!$N56&amp;'IC Output - HUB'!$M56&amp;'IC Output - HUB'!$I56&amp;'IC Output - HUB'!$L56&amp;'IC Output - HUB'!$P56</f>
        <v>43553NationGoal AttainmentTrimester1.0115</v>
      </c>
      <c r="AH56" s="2"/>
      <c r="AI56" s="2"/>
      <c r="AJ56" s="2"/>
      <c r="AK56" s="2"/>
    </row>
    <row r="57">
      <c r="A57" s="26" t="s">
        <v>27</v>
      </c>
      <c r="B57" s="27" t="s">
        <v>55</v>
      </c>
      <c r="C57" s="27" t="s">
        <v>29</v>
      </c>
      <c r="D57" s="27" t="s">
        <v>40</v>
      </c>
      <c r="E57" s="27" t="s">
        <v>41</v>
      </c>
      <c r="F57" s="27" t="s">
        <v>56</v>
      </c>
      <c r="G57" s="27" t="s">
        <v>33</v>
      </c>
      <c r="H57" s="27" t="s">
        <v>60</v>
      </c>
      <c r="I57" s="27" t="s">
        <v>61</v>
      </c>
      <c r="J57" s="27" t="s">
        <v>110</v>
      </c>
      <c r="K57" s="27" t="s">
        <v>111</v>
      </c>
      <c r="L57" s="27" t="s">
        <v>38</v>
      </c>
      <c r="M57" s="27" t="s">
        <v>30</v>
      </c>
      <c r="N57" s="27">
        <v>409698.1716750002</v>
      </c>
      <c r="O57" s="27">
        <v>420041.0</v>
      </c>
      <c r="P57" s="29">
        <v>0.9754</v>
      </c>
      <c r="Q57" s="14">
        <v>0.3333333333333333</v>
      </c>
      <c r="R57" s="29">
        <v>0.7582</v>
      </c>
      <c r="S57" s="29">
        <v>0.4</v>
      </c>
      <c r="T57" s="31">
        <v>1951.03</v>
      </c>
      <c r="U57" s="29">
        <v>0.0</v>
      </c>
      <c r="V57" s="29">
        <v>1.0</v>
      </c>
      <c r="W57" s="29">
        <v>1.0</v>
      </c>
      <c r="X57" s="31">
        <v>1479.2709459999999</v>
      </c>
      <c r="Y57" s="28"/>
      <c r="Z57" s="32">
        <v>1479.2709459999999</v>
      </c>
      <c r="AA57" s="2"/>
      <c r="AB57" s="2"/>
      <c r="AC57" s="2"/>
      <c r="AD57" s="2"/>
      <c r="AE57" s="2"/>
      <c r="AF57" s="2"/>
      <c r="AG57" s="2" t="str">
        <f>'IC Output - HUB'!$N57&amp;'IC Output - HUB'!$M57&amp;'IC Output - HUB'!$I57&amp;'IC Output - HUB'!$L57&amp;'IC Output - HUB'!$P57</f>
        <v>409698.171675NationGoal AttainmentTrimester0.9754</v>
      </c>
      <c r="AH57" s="2"/>
      <c r="AI57" s="2"/>
      <c r="AJ57" s="2"/>
      <c r="AK57" s="2"/>
    </row>
    <row r="58">
      <c r="A58" s="18" t="s">
        <v>27</v>
      </c>
      <c r="B58" s="19" t="s">
        <v>112</v>
      </c>
      <c r="C58" s="19" t="s">
        <v>113</v>
      </c>
      <c r="D58" s="19" t="s">
        <v>40</v>
      </c>
      <c r="E58" s="19" t="s">
        <v>41</v>
      </c>
      <c r="F58" s="19" t="s">
        <v>114</v>
      </c>
      <c r="G58" s="19" t="s">
        <v>33</v>
      </c>
      <c r="H58" s="19" t="s">
        <v>34</v>
      </c>
      <c r="I58" s="19" t="s">
        <v>61</v>
      </c>
      <c r="J58" s="19" t="s">
        <v>115</v>
      </c>
      <c r="K58" s="19" t="s">
        <v>116</v>
      </c>
      <c r="L58" s="19" t="s">
        <v>117</v>
      </c>
      <c r="M58" s="19" t="s">
        <v>40</v>
      </c>
      <c r="N58" s="19">
        <v>14393.85</v>
      </c>
      <c r="O58" s="19">
        <v>16666.666666666668</v>
      </c>
      <c r="P58" s="21">
        <v>0.8636</v>
      </c>
      <c r="Q58" s="22">
        <v>1.0</v>
      </c>
      <c r="R58" s="21">
        <v>0.0349</v>
      </c>
      <c r="S58" s="21">
        <v>0.2</v>
      </c>
      <c r="T58" s="24">
        <v>732.53</v>
      </c>
      <c r="U58" s="21">
        <v>0.0</v>
      </c>
      <c r="V58" s="21">
        <v>1.0</v>
      </c>
      <c r="W58" s="21">
        <v>1.0</v>
      </c>
      <c r="X58" s="24">
        <v>25.565297</v>
      </c>
      <c r="Y58" s="20"/>
      <c r="Z58" s="25">
        <v>25.565297</v>
      </c>
      <c r="AA58" s="2"/>
      <c r="AB58" s="2"/>
      <c r="AC58" s="2"/>
      <c r="AD58" s="2"/>
      <c r="AE58" s="2"/>
      <c r="AF58" s="2"/>
      <c r="AG58" s="2" t="str">
        <f>'IC Output - HUB'!$N58&amp;'IC Output - HUB'!$M58&amp;'IC Output - HUB'!$I58&amp;'IC Output - HUB'!$L58&amp;'IC Output - HUB'!$P58</f>
        <v>14393.85TerritoryGoal AttainmentSemester0.8636</v>
      </c>
      <c r="AH58" s="2"/>
      <c r="AI58" s="2"/>
      <c r="AJ58" s="2"/>
      <c r="AK58" s="2" t="s">
        <v>118</v>
      </c>
    </row>
    <row r="59">
      <c r="A59" s="26" t="s">
        <v>27</v>
      </c>
      <c r="B59" s="27" t="s">
        <v>112</v>
      </c>
      <c r="C59" s="27" t="s">
        <v>113</v>
      </c>
      <c r="D59" s="27" t="s">
        <v>40</v>
      </c>
      <c r="E59" s="27" t="s">
        <v>41</v>
      </c>
      <c r="F59" s="27" t="s">
        <v>119</v>
      </c>
      <c r="G59" s="27" t="s">
        <v>33</v>
      </c>
      <c r="H59" s="27" t="s">
        <v>43</v>
      </c>
      <c r="I59" s="27" t="s">
        <v>61</v>
      </c>
      <c r="J59" s="27" t="s">
        <v>115</v>
      </c>
      <c r="K59" s="27" t="s">
        <v>116</v>
      </c>
      <c r="L59" s="27" t="s">
        <v>117</v>
      </c>
      <c r="M59" s="27" t="s">
        <v>40</v>
      </c>
      <c r="N59" s="27">
        <v>31.0</v>
      </c>
      <c r="O59" s="27">
        <v>870.0</v>
      </c>
      <c r="P59" s="29">
        <v>0.0356</v>
      </c>
      <c r="Q59" s="14">
        <v>1.0</v>
      </c>
      <c r="R59" s="29">
        <v>0.0</v>
      </c>
      <c r="S59" s="29">
        <v>0.8</v>
      </c>
      <c r="T59" s="31">
        <v>2930.1</v>
      </c>
      <c r="U59" s="29">
        <v>0.0</v>
      </c>
      <c r="V59" s="29">
        <v>1.0</v>
      </c>
      <c r="W59" s="29">
        <v>1.0</v>
      </c>
      <c r="X59" s="31">
        <v>0.0</v>
      </c>
      <c r="Y59" s="28"/>
      <c r="Z59" s="32">
        <v>0.0</v>
      </c>
      <c r="AA59" s="2"/>
      <c r="AB59" s="2"/>
      <c r="AC59" s="2"/>
      <c r="AD59" s="2"/>
      <c r="AE59" s="2"/>
      <c r="AF59" s="2"/>
      <c r="AG59" s="2" t="str">
        <f>'IC Output - HUB'!$N59&amp;'IC Output - HUB'!$M59&amp;'IC Output - HUB'!$I59&amp;'IC Output - HUB'!$L59&amp;'IC Output - HUB'!$P59</f>
        <v>31TerritoryGoal AttainmentSemester0.0356</v>
      </c>
      <c r="AH59" s="2"/>
      <c r="AI59" s="2"/>
      <c r="AJ59" s="2"/>
      <c r="AK59" s="2"/>
    </row>
    <row r="60">
      <c r="A60" s="18" t="s">
        <v>27</v>
      </c>
      <c r="B60" s="19" t="s">
        <v>112</v>
      </c>
      <c r="C60" s="19" t="s">
        <v>113</v>
      </c>
      <c r="D60" s="19" t="s">
        <v>40</v>
      </c>
      <c r="E60" s="19" t="s">
        <v>41</v>
      </c>
      <c r="F60" s="19" t="s">
        <v>114</v>
      </c>
      <c r="G60" s="19" t="s">
        <v>33</v>
      </c>
      <c r="H60" s="19" t="s">
        <v>34</v>
      </c>
      <c r="I60" s="19" t="s">
        <v>61</v>
      </c>
      <c r="J60" s="19" t="s">
        <v>120</v>
      </c>
      <c r="K60" s="19" t="s">
        <v>121</v>
      </c>
      <c r="L60" s="19" t="s">
        <v>117</v>
      </c>
      <c r="M60" s="19" t="s">
        <v>40</v>
      </c>
      <c r="N60" s="19">
        <v>5972.02</v>
      </c>
      <c r="O60" s="19">
        <v>16666.666666666668</v>
      </c>
      <c r="P60" s="21">
        <v>0.3583</v>
      </c>
      <c r="Q60" s="22">
        <v>1.0</v>
      </c>
      <c r="R60" s="21">
        <v>0.0</v>
      </c>
      <c r="S60" s="21">
        <v>0.2</v>
      </c>
      <c r="T60" s="24">
        <v>732.53</v>
      </c>
      <c r="U60" s="21">
        <v>0.0</v>
      </c>
      <c r="V60" s="21">
        <v>1.0</v>
      </c>
      <c r="W60" s="21">
        <v>1.0</v>
      </c>
      <c r="X60" s="24">
        <v>0.0</v>
      </c>
      <c r="Y60" s="20"/>
      <c r="Z60" s="25">
        <v>0.0</v>
      </c>
      <c r="AA60" s="2"/>
      <c r="AB60" s="2"/>
      <c r="AC60" s="2"/>
      <c r="AD60" s="2"/>
      <c r="AE60" s="2"/>
      <c r="AF60" s="2"/>
      <c r="AG60" s="2" t="str">
        <f>'IC Output - HUB'!$N60&amp;'IC Output - HUB'!$M60&amp;'IC Output - HUB'!$I60&amp;'IC Output - HUB'!$L60&amp;'IC Output - HUB'!$P60</f>
        <v>5972.02TerritoryGoal AttainmentSemester0.3583</v>
      </c>
      <c r="AH60" s="2"/>
      <c r="AI60" s="2"/>
      <c r="AJ60" s="2"/>
      <c r="AK60" s="2"/>
    </row>
    <row r="61">
      <c r="A61" s="26" t="s">
        <v>27</v>
      </c>
      <c r="B61" s="27" t="s">
        <v>112</v>
      </c>
      <c r="C61" s="27" t="s">
        <v>113</v>
      </c>
      <c r="D61" s="27" t="s">
        <v>40</v>
      </c>
      <c r="E61" s="27" t="s">
        <v>41</v>
      </c>
      <c r="F61" s="27" t="s">
        <v>119</v>
      </c>
      <c r="G61" s="27" t="s">
        <v>33</v>
      </c>
      <c r="H61" s="27" t="s">
        <v>43</v>
      </c>
      <c r="I61" s="27" t="s">
        <v>61</v>
      </c>
      <c r="J61" s="27" t="s">
        <v>120</v>
      </c>
      <c r="K61" s="27" t="s">
        <v>121</v>
      </c>
      <c r="L61" s="27" t="s">
        <v>117</v>
      </c>
      <c r="M61" s="27" t="s">
        <v>40</v>
      </c>
      <c r="N61" s="27">
        <v>20.0</v>
      </c>
      <c r="O61" s="27">
        <v>870.0</v>
      </c>
      <c r="P61" s="29">
        <v>0.023</v>
      </c>
      <c r="Q61" s="14">
        <v>1.0</v>
      </c>
      <c r="R61" s="29">
        <v>0.0</v>
      </c>
      <c r="S61" s="29">
        <v>0.8</v>
      </c>
      <c r="T61" s="31">
        <v>2930.1</v>
      </c>
      <c r="U61" s="29">
        <v>0.0</v>
      </c>
      <c r="V61" s="29">
        <v>1.0</v>
      </c>
      <c r="W61" s="29">
        <v>1.0</v>
      </c>
      <c r="X61" s="31">
        <v>0.0</v>
      </c>
      <c r="Y61" s="28"/>
      <c r="Z61" s="32">
        <v>0.0</v>
      </c>
      <c r="AA61" s="2"/>
      <c r="AB61" s="2"/>
      <c r="AC61" s="2"/>
      <c r="AD61" s="2"/>
      <c r="AE61" s="2"/>
      <c r="AF61" s="2"/>
      <c r="AG61" s="2" t="str">
        <f>'IC Output - HUB'!$N61&amp;'IC Output - HUB'!$M61&amp;'IC Output - HUB'!$I61&amp;'IC Output - HUB'!$L61&amp;'IC Output - HUB'!$P61</f>
        <v>20TerritoryGoal AttainmentSemester0.023</v>
      </c>
      <c r="AH61" s="2"/>
      <c r="AI61" s="2"/>
      <c r="AJ61" s="2"/>
      <c r="AK61" s="33" t="b">
        <f>AK58=AG60</f>
        <v>0</v>
      </c>
    </row>
    <row r="62">
      <c r="A62" s="18" t="s">
        <v>27</v>
      </c>
      <c r="B62" s="19" t="s">
        <v>112</v>
      </c>
      <c r="C62" s="19" t="s">
        <v>113</v>
      </c>
      <c r="D62" s="19" t="s">
        <v>40</v>
      </c>
      <c r="E62" s="19" t="s">
        <v>41</v>
      </c>
      <c r="F62" s="19" t="s">
        <v>114</v>
      </c>
      <c r="G62" s="19" t="s">
        <v>33</v>
      </c>
      <c r="H62" s="19" t="s">
        <v>34</v>
      </c>
      <c r="I62" s="19" t="s">
        <v>61</v>
      </c>
      <c r="J62" s="19" t="s">
        <v>122</v>
      </c>
      <c r="K62" s="19" t="s">
        <v>123</v>
      </c>
      <c r="L62" s="19" t="s">
        <v>117</v>
      </c>
      <c r="M62" s="19" t="s">
        <v>40</v>
      </c>
      <c r="N62" s="19">
        <v>6815.420000000001</v>
      </c>
      <c r="O62" s="19">
        <v>16666.666666666668</v>
      </c>
      <c r="P62" s="21">
        <v>0.4089</v>
      </c>
      <c r="Q62" s="22">
        <v>1.0</v>
      </c>
      <c r="R62" s="21">
        <v>0.0</v>
      </c>
      <c r="S62" s="21">
        <v>0.2</v>
      </c>
      <c r="T62" s="24">
        <v>732.53</v>
      </c>
      <c r="U62" s="21">
        <v>0.0</v>
      </c>
      <c r="V62" s="21">
        <v>1.0</v>
      </c>
      <c r="W62" s="21">
        <v>1.0</v>
      </c>
      <c r="X62" s="24">
        <v>0.0</v>
      </c>
      <c r="Y62" s="20"/>
      <c r="Z62" s="25">
        <v>0.0</v>
      </c>
      <c r="AA62" s="2"/>
      <c r="AB62" s="2"/>
      <c r="AC62" s="2"/>
      <c r="AD62" s="2"/>
      <c r="AE62" s="2"/>
      <c r="AF62" s="2"/>
      <c r="AG62" s="2" t="str">
        <f>'IC Output - HUB'!$N62&amp;'IC Output - HUB'!$M62&amp;'IC Output - HUB'!$I62&amp;'IC Output - HUB'!$L62&amp;'IC Output - HUB'!$P62</f>
        <v>6815.42TerritoryGoal AttainmentSemester0.4089</v>
      </c>
      <c r="AH62" s="2"/>
      <c r="AI62" s="2"/>
      <c r="AJ62" s="2"/>
      <c r="AK62" s="2"/>
    </row>
    <row r="63">
      <c r="A63" s="26" t="s">
        <v>27</v>
      </c>
      <c r="B63" s="27" t="s">
        <v>112</v>
      </c>
      <c r="C63" s="27" t="s">
        <v>113</v>
      </c>
      <c r="D63" s="27" t="s">
        <v>40</v>
      </c>
      <c r="E63" s="27" t="s">
        <v>41</v>
      </c>
      <c r="F63" s="27" t="s">
        <v>119</v>
      </c>
      <c r="G63" s="27" t="s">
        <v>33</v>
      </c>
      <c r="H63" s="27" t="s">
        <v>43</v>
      </c>
      <c r="I63" s="27" t="s">
        <v>61</v>
      </c>
      <c r="J63" s="27" t="s">
        <v>122</v>
      </c>
      <c r="K63" s="27" t="s">
        <v>123</v>
      </c>
      <c r="L63" s="27" t="s">
        <v>117</v>
      </c>
      <c r="M63" s="27" t="s">
        <v>40</v>
      </c>
      <c r="N63" s="27">
        <v>22.0</v>
      </c>
      <c r="O63" s="27">
        <v>870.0</v>
      </c>
      <c r="P63" s="29">
        <v>0.0253</v>
      </c>
      <c r="Q63" s="14">
        <v>1.0</v>
      </c>
      <c r="R63" s="29">
        <v>0.0</v>
      </c>
      <c r="S63" s="29">
        <v>0.8</v>
      </c>
      <c r="T63" s="31">
        <v>2930.1</v>
      </c>
      <c r="U63" s="29">
        <v>0.0</v>
      </c>
      <c r="V63" s="29">
        <v>1.0</v>
      </c>
      <c r="W63" s="29">
        <v>1.0</v>
      </c>
      <c r="X63" s="31">
        <v>0.0</v>
      </c>
      <c r="Y63" s="28"/>
      <c r="Z63" s="32">
        <v>0.0</v>
      </c>
      <c r="AA63" s="2"/>
      <c r="AB63" s="2"/>
      <c r="AC63" s="2"/>
      <c r="AD63" s="2"/>
      <c r="AE63" s="2"/>
      <c r="AF63" s="2"/>
      <c r="AG63" s="2" t="str">
        <f>'IC Output - HUB'!$N63&amp;'IC Output - HUB'!$M63&amp;'IC Output - HUB'!$I63&amp;'IC Output - HUB'!$L63&amp;'IC Output - HUB'!$P63</f>
        <v>22TerritoryGoal AttainmentSemester0.0253</v>
      </c>
      <c r="AH63" s="2"/>
      <c r="AI63" s="2"/>
      <c r="AJ63" s="2"/>
      <c r="AK63" s="2"/>
    </row>
    <row r="64">
      <c r="A64" s="18" t="s">
        <v>27</v>
      </c>
      <c r="B64" s="19" t="s">
        <v>124</v>
      </c>
      <c r="C64" s="19" t="s">
        <v>63</v>
      </c>
      <c r="D64" s="19" t="s">
        <v>30</v>
      </c>
      <c r="E64" s="19" t="s">
        <v>125</v>
      </c>
      <c r="F64" s="19" t="s">
        <v>32</v>
      </c>
      <c r="G64" s="19" t="s">
        <v>33</v>
      </c>
      <c r="H64" s="19" t="s">
        <v>34</v>
      </c>
      <c r="I64" s="19" t="s">
        <v>35</v>
      </c>
      <c r="J64" s="19" t="s">
        <v>126</v>
      </c>
      <c r="K64" s="19" t="s">
        <v>127</v>
      </c>
      <c r="L64" s="19" t="s">
        <v>68</v>
      </c>
      <c r="M64" s="19" t="s">
        <v>30</v>
      </c>
      <c r="N64" s="20" t="s">
        <v>39</v>
      </c>
      <c r="O64" s="20" t="s">
        <v>39</v>
      </c>
      <c r="P64" s="23" t="s">
        <v>39</v>
      </c>
      <c r="Q64" s="22">
        <v>0.25</v>
      </c>
      <c r="R64" s="23" t="s">
        <v>39</v>
      </c>
      <c r="S64" s="21">
        <v>1.0</v>
      </c>
      <c r="T64" s="24">
        <v>3907.81</v>
      </c>
      <c r="U64" s="21">
        <v>0.0</v>
      </c>
      <c r="V64" s="21">
        <v>1.0</v>
      </c>
      <c r="W64" s="21">
        <v>1.0</v>
      </c>
      <c r="X64" s="24">
        <v>9866.438688000002</v>
      </c>
      <c r="Y64" s="20"/>
      <c r="Z64" s="25">
        <v>9866.438688000002</v>
      </c>
      <c r="AA64" s="2"/>
      <c r="AB64" s="2"/>
      <c r="AC64" s="2"/>
      <c r="AD64" s="2"/>
      <c r="AE64" s="2"/>
      <c r="AF64" s="2"/>
      <c r="AG64" s="2" t="str">
        <f>'IC Output - HUB'!$N64&amp;'IC Output - HUB'!$M64&amp;'IC Output - HUB'!$I64&amp;'IC Output - HUB'!$L64&amp;'IC Output - HUB'!$P64</f>
        <v>NationAverage of Underlying TerrsQuarter</v>
      </c>
      <c r="AH64" s="2"/>
      <c r="AI64" s="2"/>
      <c r="AJ64" s="2"/>
      <c r="AK64" s="2"/>
    </row>
    <row r="65">
      <c r="A65" s="26" t="s">
        <v>27</v>
      </c>
      <c r="B65" s="27" t="s">
        <v>124</v>
      </c>
      <c r="C65" s="27" t="s">
        <v>63</v>
      </c>
      <c r="D65" s="27" t="s">
        <v>40</v>
      </c>
      <c r="E65" s="27" t="s">
        <v>41</v>
      </c>
      <c r="F65" s="27" t="s">
        <v>128</v>
      </c>
      <c r="G65" s="27" t="s">
        <v>33</v>
      </c>
      <c r="H65" s="27" t="s">
        <v>60</v>
      </c>
      <c r="I65" s="27" t="s">
        <v>61</v>
      </c>
      <c r="J65" s="27" t="s">
        <v>129</v>
      </c>
      <c r="K65" s="27" t="s">
        <v>130</v>
      </c>
      <c r="L65" s="27" t="s">
        <v>68</v>
      </c>
      <c r="M65" s="27" t="s">
        <v>30</v>
      </c>
      <c r="N65" s="27">
        <v>24535.0</v>
      </c>
      <c r="O65" s="27">
        <v>22606.0</v>
      </c>
      <c r="P65" s="29">
        <v>1.0853</v>
      </c>
      <c r="Q65" s="14">
        <v>0.25</v>
      </c>
      <c r="R65" s="29">
        <v>1.6832</v>
      </c>
      <c r="S65" s="29">
        <v>1.0</v>
      </c>
      <c r="T65" s="31">
        <v>3907.81</v>
      </c>
      <c r="U65" s="29">
        <v>0.0</v>
      </c>
      <c r="V65" s="29">
        <v>1.0</v>
      </c>
      <c r="W65" s="29">
        <v>1.0</v>
      </c>
      <c r="X65" s="31">
        <v>6577.625792</v>
      </c>
      <c r="Y65" s="28"/>
      <c r="Z65" s="32">
        <v>6577.625792</v>
      </c>
      <c r="AA65" s="2"/>
      <c r="AB65" s="2"/>
      <c r="AC65" s="2"/>
      <c r="AD65" s="2"/>
      <c r="AE65" s="2"/>
      <c r="AF65" s="2"/>
      <c r="AG65" s="2" t="str">
        <f>'IC Output - HUB'!$N65&amp;'IC Output - HUB'!$M65&amp;'IC Output - HUB'!$I65&amp;'IC Output - HUB'!$L65&amp;'IC Output - HUB'!$P65</f>
        <v>24535NationGoal AttainmentQuarter1.0853</v>
      </c>
      <c r="AH65" s="2"/>
      <c r="AI65" s="2"/>
      <c r="AJ65" s="2"/>
      <c r="AK65" s="2"/>
    </row>
    <row r="66">
      <c r="A66" s="18" t="s">
        <v>27</v>
      </c>
      <c r="B66" s="19" t="s">
        <v>124</v>
      </c>
      <c r="C66" s="19" t="s">
        <v>63</v>
      </c>
      <c r="D66" s="19" t="s">
        <v>40</v>
      </c>
      <c r="E66" s="19" t="s">
        <v>41</v>
      </c>
      <c r="F66" s="19" t="s">
        <v>128</v>
      </c>
      <c r="G66" s="19" t="s">
        <v>33</v>
      </c>
      <c r="H66" s="19" t="s">
        <v>60</v>
      </c>
      <c r="I66" s="19" t="s">
        <v>61</v>
      </c>
      <c r="J66" s="19" t="s">
        <v>131</v>
      </c>
      <c r="K66" s="19" t="s">
        <v>132</v>
      </c>
      <c r="L66" s="19" t="s">
        <v>68</v>
      </c>
      <c r="M66" s="19" t="s">
        <v>30</v>
      </c>
      <c r="N66" s="19">
        <v>24535.0</v>
      </c>
      <c r="O66" s="19">
        <v>22606.0</v>
      </c>
      <c r="P66" s="21">
        <v>1.0853</v>
      </c>
      <c r="Q66" s="22">
        <v>0.25</v>
      </c>
      <c r="R66" s="21">
        <v>1.6832</v>
      </c>
      <c r="S66" s="21">
        <v>1.0</v>
      </c>
      <c r="T66" s="24">
        <v>3907.81</v>
      </c>
      <c r="U66" s="21">
        <v>0.0</v>
      </c>
      <c r="V66" s="21">
        <v>1.0</v>
      </c>
      <c r="W66" s="21">
        <v>1.0</v>
      </c>
      <c r="X66" s="24">
        <v>6577.625792</v>
      </c>
      <c r="Y66" s="20"/>
      <c r="Z66" s="25">
        <v>6577.625792</v>
      </c>
      <c r="AA66" s="2"/>
      <c r="AB66" s="2"/>
      <c r="AC66" s="2"/>
      <c r="AD66" s="2"/>
      <c r="AE66" s="2"/>
      <c r="AF66" s="2"/>
      <c r="AG66" s="2" t="str">
        <f>'IC Output - HUB'!$N66&amp;'IC Output - HUB'!$M66&amp;'IC Output - HUB'!$I66&amp;'IC Output - HUB'!$L66&amp;'IC Output - HUB'!$P66</f>
        <v>24535NationGoal AttainmentQuarter1.0853</v>
      </c>
      <c r="AH66" s="2"/>
      <c r="AI66" s="2"/>
      <c r="AJ66" s="2"/>
      <c r="AK66" s="2"/>
    </row>
    <row r="67">
      <c r="A67" s="26" t="s">
        <v>27</v>
      </c>
      <c r="B67" s="27" t="s">
        <v>124</v>
      </c>
      <c r="C67" s="27" t="s">
        <v>63</v>
      </c>
      <c r="D67" s="27" t="s">
        <v>40</v>
      </c>
      <c r="E67" s="27" t="s">
        <v>41</v>
      </c>
      <c r="F67" s="27" t="s">
        <v>128</v>
      </c>
      <c r="G67" s="27" t="s">
        <v>33</v>
      </c>
      <c r="H67" s="27" t="s">
        <v>60</v>
      </c>
      <c r="I67" s="27" t="s">
        <v>61</v>
      </c>
      <c r="J67" s="27" t="s">
        <v>133</v>
      </c>
      <c r="K67" s="27" t="s">
        <v>134</v>
      </c>
      <c r="L67" s="27" t="s">
        <v>68</v>
      </c>
      <c r="M67" s="27" t="s">
        <v>30</v>
      </c>
      <c r="N67" s="27">
        <v>24535.0</v>
      </c>
      <c r="O67" s="27">
        <v>22606.0</v>
      </c>
      <c r="P67" s="29">
        <v>1.0853</v>
      </c>
      <c r="Q67" s="14">
        <v>0.25</v>
      </c>
      <c r="R67" s="29">
        <v>1.6832</v>
      </c>
      <c r="S67" s="29">
        <v>1.0</v>
      </c>
      <c r="T67" s="31">
        <v>3907.81</v>
      </c>
      <c r="U67" s="29">
        <v>0.0</v>
      </c>
      <c r="V67" s="29">
        <v>1.0</v>
      </c>
      <c r="W67" s="29">
        <v>1.0</v>
      </c>
      <c r="X67" s="31">
        <v>6577.625792</v>
      </c>
      <c r="Y67" s="28"/>
      <c r="Z67" s="32">
        <v>6577.625792</v>
      </c>
      <c r="AA67" s="2"/>
      <c r="AB67" s="2"/>
      <c r="AC67" s="2"/>
      <c r="AD67" s="2"/>
      <c r="AE67" s="2"/>
      <c r="AF67" s="2"/>
      <c r="AG67" s="2" t="str">
        <f>'IC Output - HUB'!$N67&amp;'IC Output - HUB'!$M67&amp;'IC Output - HUB'!$I67&amp;'IC Output - HUB'!$L67&amp;'IC Output - HUB'!$P67</f>
        <v>24535NationGoal AttainmentQuarter1.0853</v>
      </c>
      <c r="AH67" s="2"/>
      <c r="AI67" s="2"/>
      <c r="AJ67" s="2"/>
      <c r="AK67" s="2"/>
    </row>
    <row r="68">
      <c r="A68" s="18" t="s">
        <v>27</v>
      </c>
      <c r="B68" s="19" t="s">
        <v>124</v>
      </c>
      <c r="C68" s="19" t="s">
        <v>63</v>
      </c>
      <c r="D68" s="19" t="s">
        <v>40</v>
      </c>
      <c r="E68" s="19" t="s">
        <v>41</v>
      </c>
      <c r="F68" s="19" t="s">
        <v>128</v>
      </c>
      <c r="G68" s="19" t="s">
        <v>33</v>
      </c>
      <c r="H68" s="19" t="s">
        <v>60</v>
      </c>
      <c r="I68" s="19" t="s">
        <v>61</v>
      </c>
      <c r="J68" s="19" t="s">
        <v>135</v>
      </c>
      <c r="K68" s="19" t="s">
        <v>136</v>
      </c>
      <c r="L68" s="19" t="s">
        <v>68</v>
      </c>
      <c r="M68" s="19" t="s">
        <v>30</v>
      </c>
      <c r="N68" s="19">
        <v>24535.0</v>
      </c>
      <c r="O68" s="19">
        <v>22606.0</v>
      </c>
      <c r="P68" s="21">
        <v>1.0853</v>
      </c>
      <c r="Q68" s="22">
        <v>0.25</v>
      </c>
      <c r="R68" s="21">
        <v>1.6832</v>
      </c>
      <c r="S68" s="21">
        <v>1.0</v>
      </c>
      <c r="T68" s="24">
        <v>3907.81</v>
      </c>
      <c r="U68" s="21">
        <v>0.0</v>
      </c>
      <c r="V68" s="21">
        <v>1.0</v>
      </c>
      <c r="W68" s="21">
        <v>1.0</v>
      </c>
      <c r="X68" s="24">
        <v>6577.625792</v>
      </c>
      <c r="Y68" s="20"/>
      <c r="Z68" s="25">
        <v>6577.625792</v>
      </c>
      <c r="AA68" s="2"/>
      <c r="AB68" s="2"/>
      <c r="AC68" s="2"/>
      <c r="AD68" s="2"/>
      <c r="AE68" s="2"/>
      <c r="AF68" s="2"/>
      <c r="AG68" s="2" t="str">
        <f>'IC Output - HUB'!$N68&amp;'IC Output - HUB'!$M68&amp;'IC Output - HUB'!$I68&amp;'IC Output - HUB'!$L68&amp;'IC Output - HUB'!$P68</f>
        <v>24535NationGoal AttainmentQuarter1.0853</v>
      </c>
      <c r="AH68" s="2"/>
      <c r="AI68" s="2"/>
      <c r="AJ68" s="2"/>
      <c r="AK68" s="2"/>
    </row>
    <row r="69">
      <c r="A69" s="26" t="s">
        <v>27</v>
      </c>
      <c r="B69" s="27" t="s">
        <v>124</v>
      </c>
      <c r="C69" s="27" t="s">
        <v>63</v>
      </c>
      <c r="D69" s="27" t="s">
        <v>40</v>
      </c>
      <c r="E69" s="27" t="s">
        <v>41</v>
      </c>
      <c r="F69" s="27" t="s">
        <v>128</v>
      </c>
      <c r="G69" s="27" t="s">
        <v>33</v>
      </c>
      <c r="H69" s="27" t="s">
        <v>60</v>
      </c>
      <c r="I69" s="27" t="s">
        <v>61</v>
      </c>
      <c r="J69" s="27" t="s">
        <v>137</v>
      </c>
      <c r="K69" s="27" t="s">
        <v>138</v>
      </c>
      <c r="L69" s="27" t="s">
        <v>68</v>
      </c>
      <c r="M69" s="27" t="s">
        <v>30</v>
      </c>
      <c r="N69" s="27">
        <v>24535.0</v>
      </c>
      <c r="O69" s="27">
        <v>22606.0</v>
      </c>
      <c r="P69" s="29">
        <v>1.0853</v>
      </c>
      <c r="Q69" s="14">
        <v>0.25</v>
      </c>
      <c r="R69" s="29">
        <v>1.6832</v>
      </c>
      <c r="S69" s="29">
        <v>1.0</v>
      </c>
      <c r="T69" s="31">
        <v>3907.81</v>
      </c>
      <c r="U69" s="29">
        <v>0.0</v>
      </c>
      <c r="V69" s="29">
        <v>1.0</v>
      </c>
      <c r="W69" s="29">
        <v>1.0</v>
      </c>
      <c r="X69" s="31">
        <v>6577.625792</v>
      </c>
      <c r="Y69" s="28"/>
      <c r="Z69" s="32">
        <v>6577.625792</v>
      </c>
      <c r="AA69" s="2"/>
      <c r="AB69" s="2"/>
      <c r="AC69" s="2"/>
      <c r="AD69" s="2"/>
      <c r="AE69" s="2"/>
      <c r="AF69" s="2"/>
      <c r="AG69" s="2" t="str">
        <f>'IC Output - HUB'!$N69&amp;'IC Output - HUB'!$M69&amp;'IC Output - HUB'!$I69&amp;'IC Output - HUB'!$L69&amp;'IC Output - HUB'!$P69</f>
        <v>24535NationGoal AttainmentQuarter1.0853</v>
      </c>
      <c r="AH69" s="2"/>
      <c r="AI69" s="2"/>
      <c r="AJ69" s="2"/>
      <c r="AK69" s="2"/>
    </row>
    <row r="70">
      <c r="A70" s="34"/>
      <c r="B70" s="19" t="s">
        <v>139</v>
      </c>
      <c r="C70" s="20"/>
      <c r="D70" s="20"/>
      <c r="E70" s="19" t="s">
        <v>125</v>
      </c>
      <c r="F70" s="20"/>
      <c r="G70" s="20"/>
      <c r="H70" s="20"/>
      <c r="I70" s="20"/>
      <c r="J70" s="19" t="s">
        <v>140</v>
      </c>
      <c r="K70" s="19" t="s">
        <v>141</v>
      </c>
      <c r="L70" s="20"/>
      <c r="M70" s="20"/>
      <c r="N70" s="20" t="s">
        <v>39</v>
      </c>
      <c r="O70" s="20" t="s">
        <v>39</v>
      </c>
      <c r="P70" s="23" t="s">
        <v>39</v>
      </c>
      <c r="Q70" s="35"/>
      <c r="R70" s="23" t="s">
        <v>39</v>
      </c>
      <c r="S70" s="23"/>
      <c r="T70" s="24">
        <v>0.0</v>
      </c>
      <c r="U70" s="21">
        <v>0.0</v>
      </c>
      <c r="V70" s="21">
        <v>1.0</v>
      </c>
      <c r="W70" s="21">
        <v>1.0</v>
      </c>
      <c r="X70" s="24">
        <v>0.0</v>
      </c>
      <c r="Y70" s="20"/>
      <c r="Z70" s="25">
        <v>0.0</v>
      </c>
      <c r="AA70" s="2"/>
      <c r="AB70" s="2"/>
      <c r="AC70" s="2"/>
      <c r="AD70" s="2"/>
      <c r="AE70" s="2"/>
      <c r="AF70" s="2"/>
      <c r="AG70" s="2" t="str">
        <f>'IC Output - HUB'!$N70&amp;'IC Output - HUB'!$M70&amp;'IC Output - HUB'!$I70&amp;'IC Output - HUB'!$L70&amp;'IC Output - HUB'!$P70</f>
        <v/>
      </c>
      <c r="AH70" s="2"/>
      <c r="AI70" s="2"/>
      <c r="AJ70" s="2"/>
      <c r="AK70" s="2"/>
    </row>
    <row r="71">
      <c r="A71" s="26" t="s">
        <v>27</v>
      </c>
      <c r="B71" s="27" t="s">
        <v>139</v>
      </c>
      <c r="C71" s="27" t="s">
        <v>63</v>
      </c>
      <c r="D71" s="27" t="s">
        <v>40</v>
      </c>
      <c r="E71" s="27" t="s">
        <v>41</v>
      </c>
      <c r="F71" s="27" t="s">
        <v>142</v>
      </c>
      <c r="G71" s="27" t="s">
        <v>33</v>
      </c>
      <c r="H71" s="27" t="s">
        <v>143</v>
      </c>
      <c r="I71" s="27" t="s">
        <v>61</v>
      </c>
      <c r="J71" s="27" t="s">
        <v>144</v>
      </c>
      <c r="K71" s="27" t="s">
        <v>145</v>
      </c>
      <c r="L71" s="27" t="s">
        <v>68</v>
      </c>
      <c r="M71" s="27" t="s">
        <v>30</v>
      </c>
      <c r="N71" s="27">
        <v>9.0</v>
      </c>
      <c r="O71" s="27">
        <v>8.0</v>
      </c>
      <c r="P71" s="29">
        <v>1.125</v>
      </c>
      <c r="Q71" s="14">
        <v>0.25</v>
      </c>
      <c r="R71" s="29">
        <v>1.9307</v>
      </c>
      <c r="S71" s="29">
        <v>0.5</v>
      </c>
      <c r="T71" s="31">
        <v>1953.91</v>
      </c>
      <c r="U71" s="29">
        <v>0.0</v>
      </c>
      <c r="V71" s="29">
        <v>1.0</v>
      </c>
      <c r="W71" s="29">
        <v>1.0</v>
      </c>
      <c r="X71" s="31">
        <v>3772.4140370000005</v>
      </c>
      <c r="Y71" s="28"/>
      <c r="Z71" s="32">
        <v>3772.4140370000005</v>
      </c>
      <c r="AA71" s="2"/>
      <c r="AB71" s="2"/>
      <c r="AC71" s="2"/>
      <c r="AD71" s="2"/>
      <c r="AE71" s="2"/>
      <c r="AF71" s="2"/>
      <c r="AG71" s="2" t="str">
        <f>'IC Output - HUB'!$N71&amp;'IC Output - HUB'!$M71&amp;'IC Output - HUB'!$I71&amp;'IC Output - HUB'!$L71&amp;'IC Output - HUB'!$P71</f>
        <v>9NationGoal AttainmentQuarter1.125</v>
      </c>
      <c r="AH71" s="2"/>
      <c r="AI71" s="2"/>
      <c r="AJ71" s="2"/>
      <c r="AK71" s="2"/>
    </row>
    <row r="72">
      <c r="A72" s="18" t="s">
        <v>27</v>
      </c>
      <c r="B72" s="19" t="s">
        <v>139</v>
      </c>
      <c r="C72" s="19" t="s">
        <v>63</v>
      </c>
      <c r="D72" s="19" t="s">
        <v>40</v>
      </c>
      <c r="E72" s="19" t="s">
        <v>41</v>
      </c>
      <c r="F72" s="19" t="s">
        <v>146</v>
      </c>
      <c r="G72" s="19" t="s">
        <v>33</v>
      </c>
      <c r="H72" s="19" t="s">
        <v>34</v>
      </c>
      <c r="I72" s="19" t="s">
        <v>61</v>
      </c>
      <c r="J72" s="19" t="s">
        <v>144</v>
      </c>
      <c r="K72" s="19" t="s">
        <v>145</v>
      </c>
      <c r="L72" s="19" t="s">
        <v>68</v>
      </c>
      <c r="M72" s="19" t="s">
        <v>30</v>
      </c>
      <c r="N72" s="19">
        <v>1.1178777E7</v>
      </c>
      <c r="O72" s="19">
        <v>1.2050558339555081E7</v>
      </c>
      <c r="P72" s="21">
        <v>0.9277</v>
      </c>
      <c r="Q72" s="22">
        <v>0.25</v>
      </c>
      <c r="R72" s="21">
        <v>0.35</v>
      </c>
      <c r="S72" s="21">
        <v>0.5</v>
      </c>
      <c r="T72" s="24">
        <v>1953.91</v>
      </c>
      <c r="U72" s="21">
        <v>0.0</v>
      </c>
      <c r="V72" s="21">
        <v>1.0</v>
      </c>
      <c r="W72" s="21">
        <v>1.0</v>
      </c>
      <c r="X72" s="24">
        <v>683.8685</v>
      </c>
      <c r="Y72" s="20"/>
      <c r="Z72" s="25">
        <v>683.8685</v>
      </c>
      <c r="AA72" s="2"/>
      <c r="AB72" s="2"/>
      <c r="AC72" s="2"/>
      <c r="AD72" s="2"/>
      <c r="AE72" s="2"/>
      <c r="AF72" s="2"/>
      <c r="AG72" s="2" t="str">
        <f>'IC Output - HUB'!$N72&amp;'IC Output - HUB'!$M72&amp;'IC Output - HUB'!$I72&amp;'IC Output - HUB'!$L72&amp;'IC Output - HUB'!$P72</f>
        <v>11178777NationGoal AttainmentQuarter0.9277</v>
      </c>
      <c r="AH72" s="2"/>
      <c r="AI72" s="2"/>
      <c r="AJ72" s="2"/>
      <c r="AK72" s="2"/>
    </row>
    <row r="73">
      <c r="A73" s="26" t="s">
        <v>27</v>
      </c>
      <c r="B73" s="27" t="s">
        <v>139</v>
      </c>
      <c r="C73" s="27" t="s">
        <v>63</v>
      </c>
      <c r="D73" s="27" t="s">
        <v>40</v>
      </c>
      <c r="E73" s="27" t="s">
        <v>41</v>
      </c>
      <c r="F73" s="27" t="s">
        <v>142</v>
      </c>
      <c r="G73" s="27" t="s">
        <v>33</v>
      </c>
      <c r="H73" s="27" t="s">
        <v>143</v>
      </c>
      <c r="I73" s="27" t="s">
        <v>61</v>
      </c>
      <c r="J73" s="27" t="s">
        <v>147</v>
      </c>
      <c r="K73" s="27" t="s">
        <v>148</v>
      </c>
      <c r="L73" s="27" t="s">
        <v>68</v>
      </c>
      <c r="M73" s="27" t="s">
        <v>30</v>
      </c>
      <c r="N73" s="27">
        <v>9.0</v>
      </c>
      <c r="O73" s="27">
        <v>8.0</v>
      </c>
      <c r="P73" s="29">
        <v>1.125</v>
      </c>
      <c r="Q73" s="14">
        <v>0.25</v>
      </c>
      <c r="R73" s="29">
        <v>1.9307</v>
      </c>
      <c r="S73" s="29">
        <v>0.5</v>
      </c>
      <c r="T73" s="31">
        <v>1953.91</v>
      </c>
      <c r="U73" s="29">
        <v>0.0</v>
      </c>
      <c r="V73" s="29">
        <v>1.0</v>
      </c>
      <c r="W73" s="29">
        <v>1.0</v>
      </c>
      <c r="X73" s="31">
        <v>3772.4140370000005</v>
      </c>
      <c r="Y73" s="28"/>
      <c r="Z73" s="32">
        <v>3772.4140370000005</v>
      </c>
      <c r="AA73" s="2"/>
      <c r="AB73" s="2"/>
      <c r="AC73" s="2"/>
      <c r="AD73" s="2"/>
      <c r="AE73" s="2"/>
      <c r="AF73" s="2"/>
      <c r="AG73" s="2" t="str">
        <f>'IC Output - HUB'!$N73&amp;'IC Output - HUB'!$M73&amp;'IC Output - HUB'!$I73&amp;'IC Output - HUB'!$L73&amp;'IC Output - HUB'!$P73</f>
        <v>9NationGoal AttainmentQuarter1.125</v>
      </c>
      <c r="AH73" s="2"/>
      <c r="AI73" s="2"/>
      <c r="AJ73" s="2"/>
      <c r="AK73" s="2"/>
    </row>
    <row r="74">
      <c r="A74" s="18" t="s">
        <v>27</v>
      </c>
      <c r="B74" s="19" t="s">
        <v>139</v>
      </c>
      <c r="C74" s="19" t="s">
        <v>63</v>
      </c>
      <c r="D74" s="19" t="s">
        <v>40</v>
      </c>
      <c r="E74" s="19" t="s">
        <v>41</v>
      </c>
      <c r="F74" s="19" t="s">
        <v>146</v>
      </c>
      <c r="G74" s="19" t="s">
        <v>33</v>
      </c>
      <c r="H74" s="19" t="s">
        <v>34</v>
      </c>
      <c r="I74" s="19" t="s">
        <v>61</v>
      </c>
      <c r="J74" s="19" t="s">
        <v>147</v>
      </c>
      <c r="K74" s="19" t="s">
        <v>148</v>
      </c>
      <c r="L74" s="19" t="s">
        <v>68</v>
      </c>
      <c r="M74" s="19" t="s">
        <v>30</v>
      </c>
      <c r="N74" s="19">
        <v>1.1178777E7</v>
      </c>
      <c r="O74" s="19">
        <v>1.2050558339555081E7</v>
      </c>
      <c r="P74" s="21">
        <v>0.9277</v>
      </c>
      <c r="Q74" s="22">
        <v>0.25</v>
      </c>
      <c r="R74" s="21">
        <v>0.35</v>
      </c>
      <c r="S74" s="21">
        <v>0.5</v>
      </c>
      <c r="T74" s="24">
        <v>1953.91</v>
      </c>
      <c r="U74" s="21">
        <v>0.0</v>
      </c>
      <c r="V74" s="21">
        <v>1.0</v>
      </c>
      <c r="W74" s="21">
        <v>1.0</v>
      </c>
      <c r="X74" s="24">
        <v>683.8685</v>
      </c>
      <c r="Y74" s="20"/>
      <c r="Z74" s="25">
        <v>683.8685</v>
      </c>
      <c r="AA74" s="2"/>
      <c r="AB74" s="2"/>
      <c r="AC74" s="2"/>
      <c r="AD74" s="2"/>
      <c r="AE74" s="2"/>
      <c r="AF74" s="2"/>
      <c r="AG74" s="2" t="str">
        <f>'IC Output - HUB'!$N74&amp;'IC Output - HUB'!$M74&amp;'IC Output - HUB'!$I74&amp;'IC Output - HUB'!$L74&amp;'IC Output - HUB'!$P74</f>
        <v>11178777NationGoal AttainmentQuarter0.9277</v>
      </c>
      <c r="AH74" s="2"/>
      <c r="AI74" s="2"/>
      <c r="AJ74" s="2"/>
      <c r="AK74" s="2"/>
    </row>
    <row r="75">
      <c r="A75" s="26" t="s">
        <v>27</v>
      </c>
      <c r="B75" s="27" t="s">
        <v>139</v>
      </c>
      <c r="C75" s="27" t="s">
        <v>63</v>
      </c>
      <c r="D75" s="27" t="s">
        <v>40</v>
      </c>
      <c r="E75" s="27" t="s">
        <v>41</v>
      </c>
      <c r="F75" s="27" t="s">
        <v>142</v>
      </c>
      <c r="G75" s="27" t="s">
        <v>33</v>
      </c>
      <c r="H75" s="27" t="s">
        <v>143</v>
      </c>
      <c r="I75" s="27" t="s">
        <v>61</v>
      </c>
      <c r="J75" s="27" t="s">
        <v>149</v>
      </c>
      <c r="K75" s="27" t="s">
        <v>150</v>
      </c>
      <c r="L75" s="27" t="s">
        <v>68</v>
      </c>
      <c r="M75" s="27" t="s">
        <v>30</v>
      </c>
      <c r="N75" s="27">
        <v>9.0</v>
      </c>
      <c r="O75" s="27">
        <v>8.0</v>
      </c>
      <c r="P75" s="29">
        <v>1.125</v>
      </c>
      <c r="Q75" s="14">
        <v>0.25</v>
      </c>
      <c r="R75" s="29">
        <v>1.9307</v>
      </c>
      <c r="S75" s="29">
        <v>0.5</v>
      </c>
      <c r="T75" s="31">
        <v>1953.91</v>
      </c>
      <c r="U75" s="29">
        <v>0.0</v>
      </c>
      <c r="V75" s="29">
        <v>1.0</v>
      </c>
      <c r="W75" s="29">
        <v>1.0</v>
      </c>
      <c r="X75" s="31">
        <v>3772.4140370000005</v>
      </c>
      <c r="Y75" s="28"/>
      <c r="Z75" s="32">
        <v>3772.4140370000005</v>
      </c>
      <c r="AA75" s="2"/>
      <c r="AB75" s="2"/>
      <c r="AC75" s="2"/>
      <c r="AD75" s="2"/>
      <c r="AE75" s="2"/>
      <c r="AF75" s="2"/>
      <c r="AG75" s="2" t="str">
        <f>'IC Output - HUB'!$N75&amp;'IC Output - HUB'!$M75&amp;'IC Output - HUB'!$I75&amp;'IC Output - HUB'!$L75&amp;'IC Output - HUB'!$P75</f>
        <v>9NationGoal AttainmentQuarter1.125</v>
      </c>
      <c r="AH75" s="2"/>
      <c r="AI75" s="2"/>
      <c r="AJ75" s="2"/>
      <c r="AK75" s="2"/>
    </row>
    <row r="76">
      <c r="A76" s="18" t="s">
        <v>27</v>
      </c>
      <c r="B76" s="19" t="s">
        <v>139</v>
      </c>
      <c r="C76" s="19" t="s">
        <v>63</v>
      </c>
      <c r="D76" s="19" t="s">
        <v>40</v>
      </c>
      <c r="E76" s="19" t="s">
        <v>41</v>
      </c>
      <c r="F76" s="19" t="s">
        <v>146</v>
      </c>
      <c r="G76" s="19" t="s">
        <v>33</v>
      </c>
      <c r="H76" s="19" t="s">
        <v>34</v>
      </c>
      <c r="I76" s="19" t="s">
        <v>61</v>
      </c>
      <c r="J76" s="19" t="s">
        <v>149</v>
      </c>
      <c r="K76" s="19" t="s">
        <v>150</v>
      </c>
      <c r="L76" s="19" t="s">
        <v>68</v>
      </c>
      <c r="M76" s="19" t="s">
        <v>30</v>
      </c>
      <c r="N76" s="19">
        <v>1.1178777E7</v>
      </c>
      <c r="O76" s="19">
        <v>1.2050558339555081E7</v>
      </c>
      <c r="P76" s="21">
        <v>0.9277</v>
      </c>
      <c r="Q76" s="22">
        <v>0.25</v>
      </c>
      <c r="R76" s="21">
        <v>0.35</v>
      </c>
      <c r="S76" s="21">
        <v>0.5</v>
      </c>
      <c r="T76" s="24">
        <v>1953.91</v>
      </c>
      <c r="U76" s="21">
        <v>0.0</v>
      </c>
      <c r="V76" s="21">
        <v>1.0</v>
      </c>
      <c r="W76" s="21">
        <v>1.0</v>
      </c>
      <c r="X76" s="24">
        <v>683.8685</v>
      </c>
      <c r="Y76" s="20"/>
      <c r="Z76" s="25">
        <v>683.8685</v>
      </c>
      <c r="AA76" s="2"/>
      <c r="AB76" s="2"/>
      <c r="AC76" s="2"/>
      <c r="AD76" s="2"/>
      <c r="AE76" s="2"/>
      <c r="AF76" s="2"/>
      <c r="AG76" s="2" t="str">
        <f>'IC Output - HUB'!$N76&amp;'IC Output - HUB'!$M76&amp;'IC Output - HUB'!$I76&amp;'IC Output - HUB'!$L76&amp;'IC Output - HUB'!$P76</f>
        <v>11178777NationGoal AttainmentQuarter0.9277</v>
      </c>
      <c r="AH76" s="2"/>
      <c r="AI76" s="2"/>
      <c r="AJ76" s="2"/>
      <c r="AK76" s="2"/>
    </row>
    <row r="77">
      <c r="A77" s="26" t="s">
        <v>27</v>
      </c>
      <c r="B77" s="27" t="s">
        <v>139</v>
      </c>
      <c r="C77" s="27" t="s">
        <v>63</v>
      </c>
      <c r="D77" s="27" t="s">
        <v>40</v>
      </c>
      <c r="E77" s="27" t="s">
        <v>41</v>
      </c>
      <c r="F77" s="27" t="s">
        <v>142</v>
      </c>
      <c r="G77" s="27" t="s">
        <v>33</v>
      </c>
      <c r="H77" s="27" t="s">
        <v>143</v>
      </c>
      <c r="I77" s="27" t="s">
        <v>61</v>
      </c>
      <c r="J77" s="27" t="s">
        <v>151</v>
      </c>
      <c r="K77" s="27" t="s">
        <v>152</v>
      </c>
      <c r="L77" s="27" t="s">
        <v>68</v>
      </c>
      <c r="M77" s="27" t="s">
        <v>30</v>
      </c>
      <c r="N77" s="27">
        <v>9.0</v>
      </c>
      <c r="O77" s="27">
        <v>8.0</v>
      </c>
      <c r="P77" s="29">
        <v>1.125</v>
      </c>
      <c r="Q77" s="14">
        <v>0.25</v>
      </c>
      <c r="R77" s="29">
        <v>1.9307</v>
      </c>
      <c r="S77" s="29">
        <v>0.5</v>
      </c>
      <c r="T77" s="31">
        <v>1953.91</v>
      </c>
      <c r="U77" s="29">
        <v>0.0</v>
      </c>
      <c r="V77" s="29">
        <v>1.0</v>
      </c>
      <c r="W77" s="29">
        <v>1.0</v>
      </c>
      <c r="X77" s="31">
        <v>3772.4140370000005</v>
      </c>
      <c r="Y77" s="28"/>
      <c r="Z77" s="32">
        <v>3772.4140370000005</v>
      </c>
      <c r="AA77" s="2"/>
      <c r="AB77" s="2"/>
      <c r="AC77" s="2"/>
      <c r="AD77" s="2"/>
      <c r="AE77" s="2"/>
      <c r="AF77" s="2"/>
      <c r="AG77" s="2" t="str">
        <f>'IC Output - HUB'!$N77&amp;'IC Output - HUB'!$M77&amp;'IC Output - HUB'!$I77&amp;'IC Output - HUB'!$L77&amp;'IC Output - HUB'!$P77</f>
        <v>9NationGoal AttainmentQuarter1.125</v>
      </c>
      <c r="AH77" s="2"/>
      <c r="AI77" s="2"/>
      <c r="AJ77" s="2"/>
      <c r="AK77" s="2"/>
    </row>
    <row r="78">
      <c r="A78" s="18" t="s">
        <v>27</v>
      </c>
      <c r="B78" s="19" t="s">
        <v>139</v>
      </c>
      <c r="C78" s="19" t="s">
        <v>63</v>
      </c>
      <c r="D78" s="19" t="s">
        <v>40</v>
      </c>
      <c r="E78" s="19" t="s">
        <v>41</v>
      </c>
      <c r="F78" s="19" t="s">
        <v>146</v>
      </c>
      <c r="G78" s="19" t="s">
        <v>33</v>
      </c>
      <c r="H78" s="19" t="s">
        <v>34</v>
      </c>
      <c r="I78" s="19" t="s">
        <v>61</v>
      </c>
      <c r="J78" s="19" t="s">
        <v>151</v>
      </c>
      <c r="K78" s="19" t="s">
        <v>152</v>
      </c>
      <c r="L78" s="19" t="s">
        <v>68</v>
      </c>
      <c r="M78" s="19" t="s">
        <v>30</v>
      </c>
      <c r="N78" s="19">
        <v>1.1178777E7</v>
      </c>
      <c r="O78" s="19">
        <v>1.2050558339555081E7</v>
      </c>
      <c r="P78" s="21">
        <v>0.9277</v>
      </c>
      <c r="Q78" s="22">
        <v>0.25</v>
      </c>
      <c r="R78" s="21">
        <v>0.35</v>
      </c>
      <c r="S78" s="21">
        <v>0.5</v>
      </c>
      <c r="T78" s="24">
        <v>1953.91</v>
      </c>
      <c r="U78" s="21">
        <v>0.0</v>
      </c>
      <c r="V78" s="21">
        <v>1.0</v>
      </c>
      <c r="W78" s="21">
        <v>1.0</v>
      </c>
      <c r="X78" s="24">
        <v>683.8685</v>
      </c>
      <c r="Y78" s="20"/>
      <c r="Z78" s="25">
        <v>683.8685</v>
      </c>
      <c r="AA78" s="2"/>
      <c r="AB78" s="2"/>
      <c r="AC78" s="2"/>
      <c r="AD78" s="2"/>
      <c r="AE78" s="2"/>
      <c r="AF78" s="2"/>
      <c r="AG78" s="2" t="str">
        <f>'IC Output - HUB'!$N78&amp;'IC Output - HUB'!$M78&amp;'IC Output - HUB'!$I78&amp;'IC Output - HUB'!$L78&amp;'IC Output - HUB'!$P78</f>
        <v>11178777NationGoal AttainmentQuarter0.9277</v>
      </c>
      <c r="AH78" s="2"/>
      <c r="AI78" s="2"/>
      <c r="AJ78" s="2"/>
      <c r="AK78" s="2"/>
    </row>
    <row r="79">
      <c r="A79" s="26" t="s">
        <v>27</v>
      </c>
      <c r="B79" s="27" t="s">
        <v>153</v>
      </c>
      <c r="C79" s="27" t="s">
        <v>63</v>
      </c>
      <c r="D79" s="27" t="s">
        <v>30</v>
      </c>
      <c r="E79" s="27" t="s">
        <v>125</v>
      </c>
      <c r="F79" s="27" t="s">
        <v>32</v>
      </c>
      <c r="G79" s="27" t="s">
        <v>33</v>
      </c>
      <c r="H79" s="27" t="s">
        <v>34</v>
      </c>
      <c r="I79" s="27" t="s">
        <v>35</v>
      </c>
      <c r="J79" s="27" t="s">
        <v>154</v>
      </c>
      <c r="K79" s="27" t="s">
        <v>155</v>
      </c>
      <c r="L79" s="27" t="s">
        <v>68</v>
      </c>
      <c r="M79" s="27" t="s">
        <v>30</v>
      </c>
      <c r="N79" s="28" t="s">
        <v>39</v>
      </c>
      <c r="O79" s="28" t="s">
        <v>39</v>
      </c>
      <c r="P79" s="30" t="s">
        <v>39</v>
      </c>
      <c r="Q79" s="14">
        <v>0.25</v>
      </c>
      <c r="R79" s="30" t="s">
        <v>39</v>
      </c>
      <c r="S79" s="29">
        <v>1.0</v>
      </c>
      <c r="T79" s="31">
        <v>3907.81</v>
      </c>
      <c r="U79" s="29">
        <v>0.0</v>
      </c>
      <c r="V79" s="29">
        <v>1.0</v>
      </c>
      <c r="W79" s="29">
        <v>1.0</v>
      </c>
      <c r="X79" s="31">
        <v>0.0</v>
      </c>
      <c r="Y79" s="28"/>
      <c r="Z79" s="32">
        <v>0.0</v>
      </c>
      <c r="AA79" s="2"/>
      <c r="AB79" s="2"/>
      <c r="AC79" s="2"/>
      <c r="AD79" s="2"/>
      <c r="AE79" s="2"/>
      <c r="AF79" s="2"/>
      <c r="AG79" s="2" t="str">
        <f>'IC Output - HUB'!$N79&amp;'IC Output - HUB'!$M79&amp;'IC Output - HUB'!$I79&amp;'IC Output - HUB'!$L79&amp;'IC Output - HUB'!$P79</f>
        <v>NationAverage of Underlying TerrsQuarter</v>
      </c>
      <c r="AH79" s="2"/>
      <c r="AI79" s="2"/>
      <c r="AJ79" s="2"/>
      <c r="AK79" s="2"/>
    </row>
    <row r="80">
      <c r="A80" s="18" t="s">
        <v>27</v>
      </c>
      <c r="B80" s="19" t="s">
        <v>153</v>
      </c>
      <c r="C80" s="19" t="s">
        <v>63</v>
      </c>
      <c r="D80" s="19" t="s">
        <v>40</v>
      </c>
      <c r="E80" s="19" t="s">
        <v>41</v>
      </c>
      <c r="F80" s="19" t="s">
        <v>64</v>
      </c>
      <c r="G80" s="19" t="s">
        <v>33</v>
      </c>
      <c r="H80" s="19" t="s">
        <v>65</v>
      </c>
      <c r="I80" s="19" t="s">
        <v>61</v>
      </c>
      <c r="J80" s="19" t="s">
        <v>156</v>
      </c>
      <c r="K80" s="19" t="s">
        <v>157</v>
      </c>
      <c r="L80" s="19" t="s">
        <v>68</v>
      </c>
      <c r="M80" s="19" t="s">
        <v>30</v>
      </c>
      <c r="N80" s="19">
        <v>2620.0</v>
      </c>
      <c r="O80" s="19">
        <v>5151.0</v>
      </c>
      <c r="P80" s="21">
        <v>0.5086</v>
      </c>
      <c r="Q80" s="22">
        <v>0.25</v>
      </c>
      <c r="R80" s="21">
        <v>0.0</v>
      </c>
      <c r="S80" s="21">
        <v>0.7</v>
      </c>
      <c r="T80" s="24">
        <v>2735.47</v>
      </c>
      <c r="U80" s="21">
        <v>0.0</v>
      </c>
      <c r="V80" s="21">
        <v>1.0</v>
      </c>
      <c r="W80" s="21">
        <v>1.0</v>
      </c>
      <c r="X80" s="24">
        <v>0.0</v>
      </c>
      <c r="Y80" s="20"/>
      <c r="Z80" s="25">
        <v>0.0</v>
      </c>
      <c r="AA80" s="2"/>
      <c r="AB80" s="2"/>
      <c r="AC80" s="2"/>
      <c r="AD80" s="2"/>
      <c r="AE80" s="2"/>
      <c r="AF80" s="2"/>
      <c r="AG80" s="2" t="str">
        <f>'IC Output - HUB'!$N80&amp;'IC Output - HUB'!$M80&amp;'IC Output - HUB'!$I80&amp;'IC Output - HUB'!$L80&amp;'IC Output - HUB'!$P80</f>
        <v>2620NationGoal AttainmentQuarter0.5086</v>
      </c>
      <c r="AH80" s="2"/>
      <c r="AI80" s="2"/>
      <c r="AJ80" s="2"/>
      <c r="AK80" s="2"/>
    </row>
    <row r="81">
      <c r="A81" s="26" t="s">
        <v>27</v>
      </c>
      <c r="B81" s="27" t="s">
        <v>153</v>
      </c>
      <c r="C81" s="27" t="s">
        <v>63</v>
      </c>
      <c r="D81" s="27" t="s">
        <v>40</v>
      </c>
      <c r="E81" s="27" t="s">
        <v>41</v>
      </c>
      <c r="F81" s="27" t="s">
        <v>64</v>
      </c>
      <c r="G81" s="27" t="s">
        <v>33</v>
      </c>
      <c r="H81" s="27" t="s">
        <v>43</v>
      </c>
      <c r="I81" s="27" t="s">
        <v>44</v>
      </c>
      <c r="J81" s="27" t="s">
        <v>156</v>
      </c>
      <c r="K81" s="27" t="s">
        <v>157</v>
      </c>
      <c r="L81" s="27" t="s">
        <v>68</v>
      </c>
      <c r="M81" s="27" t="s">
        <v>40</v>
      </c>
      <c r="N81" s="28" t="s">
        <v>39</v>
      </c>
      <c r="O81" s="28" t="s">
        <v>39</v>
      </c>
      <c r="P81" s="30" t="s">
        <v>39</v>
      </c>
      <c r="Q81" s="14">
        <v>0.25</v>
      </c>
      <c r="R81" s="30" t="s">
        <v>39</v>
      </c>
      <c r="S81" s="29">
        <v>0.3</v>
      </c>
      <c r="T81" s="31">
        <v>1172.34</v>
      </c>
      <c r="U81" s="29">
        <v>0.0</v>
      </c>
      <c r="V81" s="29">
        <v>1.0</v>
      </c>
      <c r="W81" s="29">
        <v>1.0</v>
      </c>
      <c r="X81" s="31">
        <v>0.0</v>
      </c>
      <c r="Y81" s="28"/>
      <c r="Z81" s="32">
        <v>0.0</v>
      </c>
      <c r="AA81" s="2"/>
      <c r="AB81" s="2"/>
      <c r="AC81" s="2"/>
      <c r="AD81" s="2"/>
      <c r="AE81" s="2"/>
      <c r="AF81" s="2"/>
      <c r="AG81" s="2" t="str">
        <f>'IC Output - HUB'!$N81&amp;'IC Output - HUB'!$M81&amp;'IC Output - HUB'!$I81&amp;'IC Output - HUB'!$L81&amp;'IC Output - HUB'!$P81</f>
        <v>TerritoryMBOQuarter</v>
      </c>
      <c r="AH81" s="2"/>
      <c r="AI81" s="2"/>
      <c r="AJ81" s="2"/>
      <c r="AK81" s="2"/>
    </row>
    <row r="82">
      <c r="A82" s="18" t="s">
        <v>27</v>
      </c>
      <c r="B82" s="19" t="s">
        <v>153</v>
      </c>
      <c r="C82" s="19" t="s">
        <v>63</v>
      </c>
      <c r="D82" s="19" t="s">
        <v>40</v>
      </c>
      <c r="E82" s="19" t="s">
        <v>41</v>
      </c>
      <c r="F82" s="19" t="s">
        <v>64</v>
      </c>
      <c r="G82" s="19" t="s">
        <v>33</v>
      </c>
      <c r="H82" s="19" t="s">
        <v>65</v>
      </c>
      <c r="I82" s="19" t="s">
        <v>61</v>
      </c>
      <c r="J82" s="19" t="s">
        <v>158</v>
      </c>
      <c r="K82" s="19" t="s">
        <v>159</v>
      </c>
      <c r="L82" s="19" t="s">
        <v>68</v>
      </c>
      <c r="M82" s="19" t="s">
        <v>30</v>
      </c>
      <c r="N82" s="19">
        <v>2620.0</v>
      </c>
      <c r="O82" s="19">
        <v>5151.0</v>
      </c>
      <c r="P82" s="21">
        <v>0.5086</v>
      </c>
      <c r="Q82" s="22">
        <v>0.25</v>
      </c>
      <c r="R82" s="21">
        <v>0.0</v>
      </c>
      <c r="S82" s="21">
        <v>0.7</v>
      </c>
      <c r="T82" s="24">
        <v>2735.47</v>
      </c>
      <c r="U82" s="21">
        <v>0.0</v>
      </c>
      <c r="V82" s="21">
        <v>1.0</v>
      </c>
      <c r="W82" s="21">
        <v>1.0</v>
      </c>
      <c r="X82" s="24">
        <v>0.0</v>
      </c>
      <c r="Y82" s="20"/>
      <c r="Z82" s="25">
        <v>0.0</v>
      </c>
      <c r="AA82" s="2"/>
      <c r="AB82" s="2"/>
      <c r="AC82" s="2"/>
      <c r="AD82" s="2"/>
      <c r="AE82" s="2"/>
      <c r="AF82" s="2"/>
      <c r="AG82" s="2" t="str">
        <f>'IC Output - HUB'!$N82&amp;'IC Output - HUB'!$M82&amp;'IC Output - HUB'!$I82&amp;'IC Output - HUB'!$L82&amp;'IC Output - HUB'!$P82</f>
        <v>2620NationGoal AttainmentQuarter0.5086</v>
      </c>
      <c r="AH82" s="2"/>
      <c r="AI82" s="2"/>
      <c r="AJ82" s="2"/>
      <c r="AK82" s="2"/>
    </row>
    <row r="83">
      <c r="A83" s="26" t="s">
        <v>27</v>
      </c>
      <c r="B83" s="27" t="s">
        <v>153</v>
      </c>
      <c r="C83" s="27" t="s">
        <v>63</v>
      </c>
      <c r="D83" s="27" t="s">
        <v>40</v>
      </c>
      <c r="E83" s="27" t="s">
        <v>41</v>
      </c>
      <c r="F83" s="27" t="s">
        <v>64</v>
      </c>
      <c r="G83" s="27" t="s">
        <v>33</v>
      </c>
      <c r="H83" s="27" t="s">
        <v>43</v>
      </c>
      <c r="I83" s="27" t="s">
        <v>44</v>
      </c>
      <c r="J83" s="27" t="s">
        <v>158</v>
      </c>
      <c r="K83" s="27" t="s">
        <v>159</v>
      </c>
      <c r="L83" s="27" t="s">
        <v>68</v>
      </c>
      <c r="M83" s="27" t="s">
        <v>40</v>
      </c>
      <c r="N83" s="28" t="s">
        <v>39</v>
      </c>
      <c r="O83" s="28" t="s">
        <v>39</v>
      </c>
      <c r="P83" s="30" t="s">
        <v>39</v>
      </c>
      <c r="Q83" s="14">
        <v>0.25</v>
      </c>
      <c r="R83" s="30" t="s">
        <v>39</v>
      </c>
      <c r="S83" s="29">
        <v>0.3</v>
      </c>
      <c r="T83" s="31">
        <v>1172.34</v>
      </c>
      <c r="U83" s="29">
        <v>0.0</v>
      </c>
      <c r="V83" s="29">
        <v>1.0</v>
      </c>
      <c r="W83" s="29">
        <v>1.0</v>
      </c>
      <c r="X83" s="31">
        <v>0.0</v>
      </c>
      <c r="Y83" s="28"/>
      <c r="Z83" s="32">
        <v>0.0</v>
      </c>
      <c r="AA83" s="2"/>
      <c r="AB83" s="2"/>
      <c r="AC83" s="2"/>
      <c r="AD83" s="2"/>
      <c r="AE83" s="2"/>
      <c r="AF83" s="2"/>
      <c r="AG83" s="2" t="str">
        <f>'IC Output - HUB'!$N83&amp;'IC Output - HUB'!$M83&amp;'IC Output - HUB'!$I83&amp;'IC Output - HUB'!$L83&amp;'IC Output - HUB'!$P83</f>
        <v>TerritoryMBOQuarter</v>
      </c>
      <c r="AH83" s="2"/>
      <c r="AI83" s="2"/>
      <c r="AJ83" s="2"/>
      <c r="AK83" s="2"/>
    </row>
    <row r="84">
      <c r="A84" s="18" t="s">
        <v>27</v>
      </c>
      <c r="B84" s="19" t="s">
        <v>153</v>
      </c>
      <c r="C84" s="19" t="s">
        <v>63</v>
      </c>
      <c r="D84" s="19" t="s">
        <v>40</v>
      </c>
      <c r="E84" s="19" t="s">
        <v>41</v>
      </c>
      <c r="F84" s="19" t="s">
        <v>64</v>
      </c>
      <c r="G84" s="19" t="s">
        <v>33</v>
      </c>
      <c r="H84" s="19" t="s">
        <v>65</v>
      </c>
      <c r="I84" s="19" t="s">
        <v>61</v>
      </c>
      <c r="J84" s="19" t="s">
        <v>160</v>
      </c>
      <c r="K84" s="19" t="s">
        <v>161</v>
      </c>
      <c r="L84" s="19" t="s">
        <v>68</v>
      </c>
      <c r="M84" s="19" t="s">
        <v>30</v>
      </c>
      <c r="N84" s="19">
        <v>2620.0</v>
      </c>
      <c r="O84" s="19">
        <v>5151.0</v>
      </c>
      <c r="P84" s="21">
        <v>0.5086</v>
      </c>
      <c r="Q84" s="22">
        <v>0.25</v>
      </c>
      <c r="R84" s="21">
        <v>0.0</v>
      </c>
      <c r="S84" s="21">
        <v>0.7</v>
      </c>
      <c r="T84" s="24">
        <v>2735.47</v>
      </c>
      <c r="U84" s="21">
        <v>0.0</v>
      </c>
      <c r="V84" s="21">
        <v>1.0</v>
      </c>
      <c r="W84" s="21">
        <v>1.0</v>
      </c>
      <c r="X84" s="24">
        <v>0.0</v>
      </c>
      <c r="Y84" s="20"/>
      <c r="Z84" s="25">
        <v>0.0</v>
      </c>
      <c r="AA84" s="2"/>
      <c r="AB84" s="2"/>
      <c r="AC84" s="2"/>
      <c r="AD84" s="2"/>
      <c r="AE84" s="2"/>
      <c r="AF84" s="2"/>
      <c r="AG84" s="2" t="str">
        <f>'IC Output - HUB'!$N84&amp;'IC Output - HUB'!$M84&amp;'IC Output - HUB'!$I84&amp;'IC Output - HUB'!$L84&amp;'IC Output - HUB'!$P84</f>
        <v>2620NationGoal AttainmentQuarter0.5086</v>
      </c>
      <c r="AH84" s="2"/>
      <c r="AI84" s="2"/>
      <c r="AJ84" s="2"/>
      <c r="AK84" s="2"/>
    </row>
    <row r="85">
      <c r="A85" s="26" t="s">
        <v>27</v>
      </c>
      <c r="B85" s="27" t="s">
        <v>153</v>
      </c>
      <c r="C85" s="27" t="s">
        <v>63</v>
      </c>
      <c r="D85" s="27" t="s">
        <v>40</v>
      </c>
      <c r="E85" s="27" t="s">
        <v>41</v>
      </c>
      <c r="F85" s="27" t="s">
        <v>64</v>
      </c>
      <c r="G85" s="27" t="s">
        <v>33</v>
      </c>
      <c r="H85" s="27" t="s">
        <v>43</v>
      </c>
      <c r="I85" s="27" t="s">
        <v>44</v>
      </c>
      <c r="J85" s="27" t="s">
        <v>160</v>
      </c>
      <c r="K85" s="27" t="s">
        <v>161</v>
      </c>
      <c r="L85" s="27" t="s">
        <v>68</v>
      </c>
      <c r="M85" s="27" t="s">
        <v>40</v>
      </c>
      <c r="N85" s="28" t="s">
        <v>39</v>
      </c>
      <c r="O85" s="28" t="s">
        <v>39</v>
      </c>
      <c r="P85" s="30" t="s">
        <v>39</v>
      </c>
      <c r="Q85" s="14">
        <v>0.25</v>
      </c>
      <c r="R85" s="30" t="s">
        <v>39</v>
      </c>
      <c r="S85" s="29">
        <v>0.3</v>
      </c>
      <c r="T85" s="31">
        <v>1172.34</v>
      </c>
      <c r="U85" s="29">
        <v>0.0</v>
      </c>
      <c r="V85" s="29">
        <v>1.0</v>
      </c>
      <c r="W85" s="29">
        <v>1.0</v>
      </c>
      <c r="X85" s="31">
        <v>0.0</v>
      </c>
      <c r="Y85" s="28"/>
      <c r="Z85" s="32">
        <v>0.0</v>
      </c>
      <c r="AA85" s="2"/>
      <c r="AB85" s="2"/>
      <c r="AC85" s="2"/>
      <c r="AD85" s="2"/>
      <c r="AE85" s="2"/>
      <c r="AF85" s="2"/>
      <c r="AG85" s="2" t="str">
        <f>'IC Output - HUB'!$N85&amp;'IC Output - HUB'!$M85&amp;'IC Output - HUB'!$I85&amp;'IC Output - HUB'!$L85&amp;'IC Output - HUB'!$P85</f>
        <v>TerritoryMBOQuarter</v>
      </c>
      <c r="AH85" s="2"/>
      <c r="AI85" s="2"/>
      <c r="AJ85" s="2"/>
      <c r="AK85" s="2"/>
    </row>
    <row r="86">
      <c r="A86" s="18" t="s">
        <v>27</v>
      </c>
      <c r="B86" s="19" t="s">
        <v>153</v>
      </c>
      <c r="C86" s="19" t="s">
        <v>63</v>
      </c>
      <c r="D86" s="19" t="s">
        <v>40</v>
      </c>
      <c r="E86" s="19" t="s">
        <v>41</v>
      </c>
      <c r="F86" s="19" t="s">
        <v>64</v>
      </c>
      <c r="G86" s="19" t="s">
        <v>33</v>
      </c>
      <c r="H86" s="19" t="s">
        <v>65</v>
      </c>
      <c r="I86" s="19" t="s">
        <v>61</v>
      </c>
      <c r="J86" s="19" t="s">
        <v>162</v>
      </c>
      <c r="K86" s="19" t="s">
        <v>163</v>
      </c>
      <c r="L86" s="19" t="s">
        <v>68</v>
      </c>
      <c r="M86" s="19" t="s">
        <v>30</v>
      </c>
      <c r="N86" s="19">
        <v>2620.0</v>
      </c>
      <c r="O86" s="19">
        <v>5151.0</v>
      </c>
      <c r="P86" s="21">
        <v>0.5086</v>
      </c>
      <c r="Q86" s="22">
        <v>0.25</v>
      </c>
      <c r="R86" s="21">
        <v>0.0</v>
      </c>
      <c r="S86" s="21">
        <v>0.7</v>
      </c>
      <c r="T86" s="24">
        <v>2735.47</v>
      </c>
      <c r="U86" s="21">
        <v>0.0</v>
      </c>
      <c r="V86" s="21">
        <v>1.0</v>
      </c>
      <c r="W86" s="21">
        <v>1.0</v>
      </c>
      <c r="X86" s="24">
        <v>0.0</v>
      </c>
      <c r="Y86" s="20"/>
      <c r="Z86" s="25">
        <v>0.0</v>
      </c>
      <c r="AA86" s="2"/>
      <c r="AB86" s="2"/>
      <c r="AC86" s="2"/>
      <c r="AD86" s="2"/>
      <c r="AE86" s="2"/>
      <c r="AF86" s="2"/>
      <c r="AG86" s="2" t="str">
        <f>'IC Output - HUB'!$N86&amp;'IC Output - HUB'!$M86&amp;'IC Output - HUB'!$I86&amp;'IC Output - HUB'!$L86&amp;'IC Output - HUB'!$P86</f>
        <v>2620NationGoal AttainmentQuarter0.5086</v>
      </c>
      <c r="AH86" s="2"/>
      <c r="AI86" s="2"/>
      <c r="AJ86" s="2"/>
      <c r="AK86" s="2"/>
    </row>
    <row r="87">
      <c r="A87" s="26" t="s">
        <v>27</v>
      </c>
      <c r="B87" s="27" t="s">
        <v>153</v>
      </c>
      <c r="C87" s="27" t="s">
        <v>63</v>
      </c>
      <c r="D87" s="27" t="s">
        <v>40</v>
      </c>
      <c r="E87" s="27" t="s">
        <v>41</v>
      </c>
      <c r="F87" s="27" t="s">
        <v>64</v>
      </c>
      <c r="G87" s="27" t="s">
        <v>33</v>
      </c>
      <c r="H87" s="27" t="s">
        <v>43</v>
      </c>
      <c r="I87" s="27" t="s">
        <v>44</v>
      </c>
      <c r="J87" s="27" t="s">
        <v>162</v>
      </c>
      <c r="K87" s="27" t="s">
        <v>163</v>
      </c>
      <c r="L87" s="27" t="s">
        <v>68</v>
      </c>
      <c r="M87" s="27" t="s">
        <v>40</v>
      </c>
      <c r="N87" s="28" t="s">
        <v>39</v>
      </c>
      <c r="O87" s="28" t="s">
        <v>39</v>
      </c>
      <c r="P87" s="30" t="s">
        <v>39</v>
      </c>
      <c r="Q87" s="14">
        <v>0.25</v>
      </c>
      <c r="R87" s="30" t="s">
        <v>39</v>
      </c>
      <c r="S87" s="29">
        <v>0.3</v>
      </c>
      <c r="T87" s="31">
        <v>1172.34</v>
      </c>
      <c r="U87" s="29">
        <v>0.0</v>
      </c>
      <c r="V87" s="29">
        <v>1.0</v>
      </c>
      <c r="W87" s="29">
        <v>1.0</v>
      </c>
      <c r="X87" s="31">
        <v>0.0</v>
      </c>
      <c r="Y87" s="28"/>
      <c r="Z87" s="32">
        <v>0.0</v>
      </c>
      <c r="AA87" s="2"/>
      <c r="AB87" s="2"/>
      <c r="AC87" s="2"/>
      <c r="AD87" s="2"/>
      <c r="AE87" s="2"/>
      <c r="AF87" s="2"/>
      <c r="AG87" s="2" t="str">
        <f>'IC Output - HUB'!$N87&amp;'IC Output - HUB'!$M87&amp;'IC Output - HUB'!$I87&amp;'IC Output - HUB'!$L87&amp;'IC Output - HUB'!$P87</f>
        <v>TerritoryMBOQuarter</v>
      </c>
      <c r="AH87" s="2"/>
      <c r="AI87" s="2"/>
      <c r="AJ87" s="2"/>
      <c r="AK87" s="2"/>
    </row>
    <row r="88">
      <c r="A88" s="18" t="s">
        <v>27</v>
      </c>
      <c r="B88" s="19" t="s">
        <v>153</v>
      </c>
      <c r="C88" s="19" t="s">
        <v>63</v>
      </c>
      <c r="D88" s="19" t="s">
        <v>40</v>
      </c>
      <c r="E88" s="19" t="s">
        <v>41</v>
      </c>
      <c r="F88" s="19" t="s">
        <v>64</v>
      </c>
      <c r="G88" s="19" t="s">
        <v>33</v>
      </c>
      <c r="H88" s="19" t="s">
        <v>65</v>
      </c>
      <c r="I88" s="19" t="s">
        <v>61</v>
      </c>
      <c r="J88" s="19" t="s">
        <v>164</v>
      </c>
      <c r="K88" s="19" t="s">
        <v>165</v>
      </c>
      <c r="L88" s="19" t="s">
        <v>68</v>
      </c>
      <c r="M88" s="19" t="s">
        <v>30</v>
      </c>
      <c r="N88" s="19">
        <v>2620.0</v>
      </c>
      <c r="O88" s="19">
        <v>5151.0</v>
      </c>
      <c r="P88" s="21">
        <v>0.5086</v>
      </c>
      <c r="Q88" s="22">
        <v>0.25</v>
      </c>
      <c r="R88" s="21">
        <v>0.0</v>
      </c>
      <c r="S88" s="21">
        <v>0.7</v>
      </c>
      <c r="T88" s="24">
        <v>2735.47</v>
      </c>
      <c r="U88" s="21">
        <v>0.0</v>
      </c>
      <c r="V88" s="21">
        <v>1.0</v>
      </c>
      <c r="W88" s="21">
        <v>1.0</v>
      </c>
      <c r="X88" s="24">
        <v>0.0</v>
      </c>
      <c r="Y88" s="20"/>
      <c r="Z88" s="25">
        <v>0.0</v>
      </c>
      <c r="AA88" s="2"/>
      <c r="AB88" s="2"/>
      <c r="AC88" s="2"/>
      <c r="AD88" s="2"/>
      <c r="AE88" s="2"/>
      <c r="AF88" s="2"/>
      <c r="AG88" s="2" t="str">
        <f>'IC Output - HUB'!$N88&amp;'IC Output - HUB'!$M88&amp;'IC Output - HUB'!$I88&amp;'IC Output - HUB'!$L88&amp;'IC Output - HUB'!$P88</f>
        <v>2620NationGoal AttainmentQuarter0.5086</v>
      </c>
      <c r="AH88" s="2"/>
      <c r="AI88" s="2"/>
      <c r="AJ88" s="2"/>
      <c r="AK88" s="2"/>
    </row>
    <row r="89">
      <c r="A89" s="26" t="s">
        <v>27</v>
      </c>
      <c r="B89" s="27" t="s">
        <v>153</v>
      </c>
      <c r="C89" s="27" t="s">
        <v>63</v>
      </c>
      <c r="D89" s="27" t="s">
        <v>40</v>
      </c>
      <c r="E89" s="27" t="s">
        <v>41</v>
      </c>
      <c r="F89" s="27" t="s">
        <v>64</v>
      </c>
      <c r="G89" s="27" t="s">
        <v>33</v>
      </c>
      <c r="H89" s="27" t="s">
        <v>43</v>
      </c>
      <c r="I89" s="27" t="s">
        <v>44</v>
      </c>
      <c r="J89" s="27" t="s">
        <v>164</v>
      </c>
      <c r="K89" s="27" t="s">
        <v>165</v>
      </c>
      <c r="L89" s="27" t="s">
        <v>68</v>
      </c>
      <c r="M89" s="27" t="s">
        <v>40</v>
      </c>
      <c r="N89" s="28" t="s">
        <v>39</v>
      </c>
      <c r="O89" s="28" t="s">
        <v>39</v>
      </c>
      <c r="P89" s="30" t="s">
        <v>39</v>
      </c>
      <c r="Q89" s="14">
        <v>0.25</v>
      </c>
      <c r="R89" s="30" t="s">
        <v>39</v>
      </c>
      <c r="S89" s="29">
        <v>0.3</v>
      </c>
      <c r="T89" s="31">
        <v>1172.34</v>
      </c>
      <c r="U89" s="29">
        <v>0.0</v>
      </c>
      <c r="V89" s="29">
        <v>1.0</v>
      </c>
      <c r="W89" s="29">
        <v>1.0</v>
      </c>
      <c r="X89" s="31">
        <v>0.0</v>
      </c>
      <c r="Y89" s="28"/>
      <c r="Z89" s="32">
        <v>0.0</v>
      </c>
      <c r="AA89" s="2"/>
      <c r="AB89" s="2"/>
      <c r="AC89" s="2"/>
      <c r="AD89" s="2"/>
      <c r="AE89" s="2"/>
      <c r="AF89" s="2"/>
      <c r="AG89" s="2" t="str">
        <f>'IC Output - HUB'!$N89&amp;'IC Output - HUB'!$M89&amp;'IC Output - HUB'!$I89&amp;'IC Output - HUB'!$L89&amp;'IC Output - HUB'!$P89</f>
        <v>TerritoryMBOQuarter</v>
      </c>
      <c r="AH89" s="2"/>
      <c r="AI89" s="2"/>
      <c r="AJ89" s="2"/>
      <c r="AK89" s="2"/>
    </row>
    <row r="90">
      <c r="A90" s="18" t="s">
        <v>27</v>
      </c>
      <c r="B90" s="19" t="s">
        <v>153</v>
      </c>
      <c r="C90" s="19" t="s">
        <v>63</v>
      </c>
      <c r="D90" s="19" t="s">
        <v>40</v>
      </c>
      <c r="E90" s="19" t="s">
        <v>41</v>
      </c>
      <c r="F90" s="19" t="s">
        <v>64</v>
      </c>
      <c r="G90" s="19" t="s">
        <v>33</v>
      </c>
      <c r="H90" s="19" t="s">
        <v>65</v>
      </c>
      <c r="I90" s="19" t="s">
        <v>61</v>
      </c>
      <c r="J90" s="19" t="s">
        <v>166</v>
      </c>
      <c r="K90" s="19" t="s">
        <v>167</v>
      </c>
      <c r="L90" s="19" t="s">
        <v>68</v>
      </c>
      <c r="M90" s="19" t="s">
        <v>30</v>
      </c>
      <c r="N90" s="19">
        <v>2620.0</v>
      </c>
      <c r="O90" s="19">
        <v>5151.0</v>
      </c>
      <c r="P90" s="21">
        <v>0.5086</v>
      </c>
      <c r="Q90" s="22">
        <v>0.25</v>
      </c>
      <c r="R90" s="21">
        <v>0.0</v>
      </c>
      <c r="S90" s="21">
        <v>0.7</v>
      </c>
      <c r="T90" s="24">
        <v>2735.47</v>
      </c>
      <c r="U90" s="21">
        <v>0.0</v>
      </c>
      <c r="V90" s="21">
        <v>1.0</v>
      </c>
      <c r="W90" s="21">
        <v>1.0</v>
      </c>
      <c r="X90" s="24">
        <v>0.0</v>
      </c>
      <c r="Y90" s="20"/>
      <c r="Z90" s="25">
        <v>0.0</v>
      </c>
      <c r="AA90" s="2"/>
      <c r="AB90" s="2"/>
      <c r="AC90" s="2"/>
      <c r="AD90" s="2"/>
      <c r="AE90" s="2"/>
      <c r="AF90" s="2"/>
      <c r="AG90" s="2" t="str">
        <f>'IC Output - HUB'!$N90&amp;'IC Output - HUB'!$M90&amp;'IC Output - HUB'!$I90&amp;'IC Output - HUB'!$L90&amp;'IC Output - HUB'!$P90</f>
        <v>2620NationGoal AttainmentQuarter0.5086</v>
      </c>
      <c r="AH90" s="2"/>
      <c r="AI90" s="2"/>
      <c r="AJ90" s="2"/>
      <c r="AK90" s="2"/>
    </row>
    <row r="91">
      <c r="A91" s="26" t="s">
        <v>27</v>
      </c>
      <c r="B91" s="27" t="s">
        <v>153</v>
      </c>
      <c r="C91" s="27" t="s">
        <v>63</v>
      </c>
      <c r="D91" s="27" t="s">
        <v>40</v>
      </c>
      <c r="E91" s="27" t="s">
        <v>41</v>
      </c>
      <c r="F91" s="27" t="s">
        <v>64</v>
      </c>
      <c r="G91" s="27" t="s">
        <v>33</v>
      </c>
      <c r="H91" s="27" t="s">
        <v>43</v>
      </c>
      <c r="I91" s="27" t="s">
        <v>44</v>
      </c>
      <c r="J91" s="27" t="s">
        <v>166</v>
      </c>
      <c r="K91" s="27" t="s">
        <v>167</v>
      </c>
      <c r="L91" s="27" t="s">
        <v>68</v>
      </c>
      <c r="M91" s="27" t="s">
        <v>40</v>
      </c>
      <c r="N91" s="28" t="s">
        <v>39</v>
      </c>
      <c r="O91" s="28" t="s">
        <v>39</v>
      </c>
      <c r="P91" s="30" t="s">
        <v>39</v>
      </c>
      <c r="Q91" s="14">
        <v>0.25</v>
      </c>
      <c r="R91" s="30" t="s">
        <v>39</v>
      </c>
      <c r="S91" s="29">
        <v>0.3</v>
      </c>
      <c r="T91" s="31">
        <v>1172.34</v>
      </c>
      <c r="U91" s="29">
        <v>0.0</v>
      </c>
      <c r="V91" s="29">
        <v>1.0</v>
      </c>
      <c r="W91" s="29">
        <v>1.0</v>
      </c>
      <c r="X91" s="31">
        <v>0.0</v>
      </c>
      <c r="Y91" s="28"/>
      <c r="Z91" s="32">
        <v>0.0</v>
      </c>
      <c r="AA91" s="2"/>
      <c r="AB91" s="2"/>
      <c r="AC91" s="2"/>
      <c r="AD91" s="2"/>
      <c r="AE91" s="2"/>
      <c r="AF91" s="2"/>
      <c r="AG91" s="2" t="str">
        <f>'IC Output - HUB'!$N91&amp;'IC Output - HUB'!$M91&amp;'IC Output - HUB'!$I91&amp;'IC Output - HUB'!$L91&amp;'IC Output - HUB'!$P91</f>
        <v>TerritoryMBOQuarter</v>
      </c>
      <c r="AH91" s="2"/>
      <c r="AI91" s="2"/>
      <c r="AJ91" s="2"/>
      <c r="AK91" s="2"/>
    </row>
    <row r="92">
      <c r="A92" s="18" t="s">
        <v>27</v>
      </c>
      <c r="B92" s="19" t="s">
        <v>153</v>
      </c>
      <c r="C92" s="19" t="s">
        <v>63</v>
      </c>
      <c r="D92" s="19" t="s">
        <v>40</v>
      </c>
      <c r="E92" s="19" t="s">
        <v>41</v>
      </c>
      <c r="F92" s="19" t="s">
        <v>64</v>
      </c>
      <c r="G92" s="19" t="s">
        <v>33</v>
      </c>
      <c r="H92" s="19" t="s">
        <v>65</v>
      </c>
      <c r="I92" s="19" t="s">
        <v>61</v>
      </c>
      <c r="J92" s="19" t="s">
        <v>168</v>
      </c>
      <c r="K92" s="19" t="s">
        <v>169</v>
      </c>
      <c r="L92" s="19" t="s">
        <v>68</v>
      </c>
      <c r="M92" s="19" t="s">
        <v>30</v>
      </c>
      <c r="N92" s="19">
        <v>2620.0</v>
      </c>
      <c r="O92" s="19">
        <v>5151.0</v>
      </c>
      <c r="P92" s="21">
        <v>0.5086</v>
      </c>
      <c r="Q92" s="22">
        <v>0.25</v>
      </c>
      <c r="R92" s="21">
        <v>0.0</v>
      </c>
      <c r="S92" s="21">
        <v>0.7</v>
      </c>
      <c r="T92" s="24">
        <v>2735.47</v>
      </c>
      <c r="U92" s="21">
        <v>0.0</v>
      </c>
      <c r="V92" s="21">
        <v>1.0</v>
      </c>
      <c r="W92" s="21">
        <v>1.0</v>
      </c>
      <c r="X92" s="24">
        <v>0.0</v>
      </c>
      <c r="Y92" s="20"/>
      <c r="Z92" s="25">
        <v>0.0</v>
      </c>
      <c r="AA92" s="2"/>
      <c r="AB92" s="2"/>
      <c r="AC92" s="2"/>
      <c r="AD92" s="2"/>
      <c r="AE92" s="2"/>
      <c r="AF92" s="2"/>
      <c r="AG92" s="2" t="str">
        <f>'IC Output - HUB'!$N92&amp;'IC Output - HUB'!$M92&amp;'IC Output - HUB'!$I92&amp;'IC Output - HUB'!$L92&amp;'IC Output - HUB'!$P92</f>
        <v>2620NationGoal AttainmentQuarter0.5086</v>
      </c>
      <c r="AH92" s="2"/>
      <c r="AI92" s="2"/>
      <c r="AJ92" s="2"/>
      <c r="AK92" s="2"/>
    </row>
    <row r="93">
      <c r="A93" s="26" t="s">
        <v>27</v>
      </c>
      <c r="B93" s="27" t="s">
        <v>153</v>
      </c>
      <c r="C93" s="27" t="s">
        <v>63</v>
      </c>
      <c r="D93" s="27" t="s">
        <v>40</v>
      </c>
      <c r="E93" s="27" t="s">
        <v>41</v>
      </c>
      <c r="F93" s="27" t="s">
        <v>64</v>
      </c>
      <c r="G93" s="27" t="s">
        <v>33</v>
      </c>
      <c r="H93" s="27" t="s">
        <v>43</v>
      </c>
      <c r="I93" s="27" t="s">
        <v>44</v>
      </c>
      <c r="J93" s="27" t="s">
        <v>168</v>
      </c>
      <c r="K93" s="27" t="s">
        <v>169</v>
      </c>
      <c r="L93" s="27" t="s">
        <v>68</v>
      </c>
      <c r="M93" s="27" t="s">
        <v>40</v>
      </c>
      <c r="N93" s="28" t="s">
        <v>39</v>
      </c>
      <c r="O93" s="28" t="s">
        <v>39</v>
      </c>
      <c r="P93" s="30" t="s">
        <v>39</v>
      </c>
      <c r="Q93" s="14">
        <v>0.25</v>
      </c>
      <c r="R93" s="30" t="s">
        <v>39</v>
      </c>
      <c r="S93" s="29">
        <v>0.3</v>
      </c>
      <c r="T93" s="31">
        <v>1172.34</v>
      </c>
      <c r="U93" s="29">
        <v>0.0</v>
      </c>
      <c r="V93" s="29">
        <v>1.0</v>
      </c>
      <c r="W93" s="29">
        <v>1.0</v>
      </c>
      <c r="X93" s="31">
        <v>0.0</v>
      </c>
      <c r="Y93" s="28"/>
      <c r="Z93" s="32">
        <v>0.0</v>
      </c>
      <c r="AA93" s="2"/>
      <c r="AB93" s="2"/>
      <c r="AC93" s="2"/>
      <c r="AD93" s="2"/>
      <c r="AE93" s="2"/>
      <c r="AF93" s="2"/>
      <c r="AG93" s="2" t="str">
        <f>'IC Output - HUB'!$N93&amp;'IC Output - HUB'!$M93&amp;'IC Output - HUB'!$I93&amp;'IC Output - HUB'!$L93&amp;'IC Output - HUB'!$P93</f>
        <v>TerritoryMBOQuarter</v>
      </c>
      <c r="AH93" s="2"/>
      <c r="AI93" s="2"/>
      <c r="AJ93" s="2"/>
      <c r="AK93" s="2"/>
    </row>
    <row r="94">
      <c r="A94" s="18" t="s">
        <v>27</v>
      </c>
      <c r="B94" s="19" t="s">
        <v>153</v>
      </c>
      <c r="C94" s="19" t="s">
        <v>63</v>
      </c>
      <c r="D94" s="19" t="s">
        <v>40</v>
      </c>
      <c r="E94" s="19" t="s">
        <v>41</v>
      </c>
      <c r="F94" s="19" t="s">
        <v>64</v>
      </c>
      <c r="G94" s="19" t="s">
        <v>33</v>
      </c>
      <c r="H94" s="19" t="s">
        <v>65</v>
      </c>
      <c r="I94" s="19" t="s">
        <v>61</v>
      </c>
      <c r="J94" s="19" t="s">
        <v>170</v>
      </c>
      <c r="K94" s="19" t="s">
        <v>171</v>
      </c>
      <c r="L94" s="19" t="s">
        <v>68</v>
      </c>
      <c r="M94" s="19" t="s">
        <v>30</v>
      </c>
      <c r="N94" s="19">
        <v>2620.0</v>
      </c>
      <c r="O94" s="19">
        <v>5151.0</v>
      </c>
      <c r="P94" s="21">
        <v>0.5086</v>
      </c>
      <c r="Q94" s="22">
        <v>0.25</v>
      </c>
      <c r="R94" s="21">
        <v>0.0</v>
      </c>
      <c r="S94" s="21">
        <v>0.7</v>
      </c>
      <c r="T94" s="24">
        <v>2735.47</v>
      </c>
      <c r="U94" s="21">
        <v>0.0</v>
      </c>
      <c r="V94" s="21">
        <v>1.0</v>
      </c>
      <c r="W94" s="21">
        <v>1.0</v>
      </c>
      <c r="X94" s="24">
        <v>0.0</v>
      </c>
      <c r="Y94" s="20"/>
      <c r="Z94" s="25">
        <v>0.0</v>
      </c>
      <c r="AA94" s="2"/>
      <c r="AB94" s="2"/>
      <c r="AC94" s="2"/>
      <c r="AD94" s="2"/>
      <c r="AE94" s="2"/>
      <c r="AF94" s="2"/>
      <c r="AG94" s="2" t="str">
        <f>'IC Output - HUB'!$N94&amp;'IC Output - HUB'!$M94&amp;'IC Output - HUB'!$I94&amp;'IC Output - HUB'!$L94&amp;'IC Output - HUB'!$P94</f>
        <v>2620NationGoal AttainmentQuarter0.5086</v>
      </c>
      <c r="AH94" s="2"/>
      <c r="AI94" s="2"/>
      <c r="AJ94" s="2"/>
      <c r="AK94" s="2"/>
    </row>
    <row r="95">
      <c r="A95" s="26" t="s">
        <v>27</v>
      </c>
      <c r="B95" s="27" t="s">
        <v>153</v>
      </c>
      <c r="C95" s="27" t="s">
        <v>63</v>
      </c>
      <c r="D95" s="27" t="s">
        <v>40</v>
      </c>
      <c r="E95" s="27" t="s">
        <v>41</v>
      </c>
      <c r="F95" s="27" t="s">
        <v>64</v>
      </c>
      <c r="G95" s="27" t="s">
        <v>33</v>
      </c>
      <c r="H95" s="27" t="s">
        <v>43</v>
      </c>
      <c r="I95" s="27" t="s">
        <v>44</v>
      </c>
      <c r="J95" s="27" t="s">
        <v>170</v>
      </c>
      <c r="K95" s="27" t="s">
        <v>171</v>
      </c>
      <c r="L95" s="27" t="s">
        <v>68</v>
      </c>
      <c r="M95" s="27" t="s">
        <v>40</v>
      </c>
      <c r="N95" s="28" t="s">
        <v>39</v>
      </c>
      <c r="O95" s="28" t="s">
        <v>39</v>
      </c>
      <c r="P95" s="30" t="s">
        <v>39</v>
      </c>
      <c r="Q95" s="14">
        <v>0.25</v>
      </c>
      <c r="R95" s="30" t="s">
        <v>39</v>
      </c>
      <c r="S95" s="29">
        <v>0.3</v>
      </c>
      <c r="T95" s="31">
        <v>1172.34</v>
      </c>
      <c r="U95" s="29">
        <v>0.0</v>
      </c>
      <c r="V95" s="29">
        <v>1.0</v>
      </c>
      <c r="W95" s="29">
        <v>1.0</v>
      </c>
      <c r="X95" s="31">
        <v>0.0</v>
      </c>
      <c r="Y95" s="28"/>
      <c r="Z95" s="32">
        <v>0.0</v>
      </c>
      <c r="AA95" s="2"/>
      <c r="AB95" s="2"/>
      <c r="AC95" s="2"/>
      <c r="AD95" s="2"/>
      <c r="AE95" s="2"/>
      <c r="AF95" s="2"/>
      <c r="AG95" s="2" t="str">
        <f>'IC Output - HUB'!$N95&amp;'IC Output - HUB'!$M95&amp;'IC Output - HUB'!$I95&amp;'IC Output - HUB'!$L95&amp;'IC Output - HUB'!$P95</f>
        <v>TerritoryMBOQuarter</v>
      </c>
      <c r="AH95" s="2"/>
      <c r="AI95" s="2"/>
      <c r="AJ95" s="2"/>
      <c r="AK95" s="2"/>
    </row>
    <row r="96">
      <c r="A96" s="18" t="s">
        <v>27</v>
      </c>
      <c r="B96" s="19" t="s">
        <v>172</v>
      </c>
      <c r="C96" s="19" t="s">
        <v>29</v>
      </c>
      <c r="D96" s="19" t="s">
        <v>30</v>
      </c>
      <c r="E96" s="19" t="s">
        <v>31</v>
      </c>
      <c r="F96" s="19" t="s">
        <v>32</v>
      </c>
      <c r="G96" s="19" t="s">
        <v>33</v>
      </c>
      <c r="H96" s="19" t="s">
        <v>34</v>
      </c>
      <c r="I96" s="19" t="s">
        <v>35</v>
      </c>
      <c r="J96" s="19" t="s">
        <v>173</v>
      </c>
      <c r="K96" s="19" t="s">
        <v>174</v>
      </c>
      <c r="L96" s="19" t="s">
        <v>38</v>
      </c>
      <c r="M96" s="19" t="s">
        <v>30</v>
      </c>
      <c r="N96" s="20" t="s">
        <v>39</v>
      </c>
      <c r="O96" s="20" t="s">
        <v>39</v>
      </c>
      <c r="P96" s="23" t="s">
        <v>39</v>
      </c>
      <c r="Q96" s="22">
        <v>0.3333333333333333</v>
      </c>
      <c r="R96" s="23" t="s">
        <v>39</v>
      </c>
      <c r="S96" s="21">
        <v>1.0</v>
      </c>
      <c r="T96" s="24">
        <v>4877.57</v>
      </c>
      <c r="U96" s="21">
        <v>0.0</v>
      </c>
      <c r="V96" s="21">
        <v>1.0</v>
      </c>
      <c r="W96" s="21">
        <v>1.0</v>
      </c>
      <c r="X96" s="24">
        <v>8544.624672</v>
      </c>
      <c r="Y96" s="20"/>
      <c r="Z96" s="25">
        <v>8544.624672</v>
      </c>
      <c r="AA96" s="2"/>
      <c r="AB96" s="2"/>
      <c r="AC96" s="2"/>
      <c r="AD96" s="2"/>
      <c r="AE96" s="2"/>
      <c r="AF96" s="2"/>
      <c r="AG96" s="2" t="str">
        <f>'IC Output - HUB'!$N96&amp;'IC Output - HUB'!$M96&amp;'IC Output - HUB'!$I96&amp;'IC Output - HUB'!$L96&amp;'IC Output - HUB'!$P96</f>
        <v>NationAverage of Underlying TerrsTrimester</v>
      </c>
      <c r="AH96" s="2"/>
      <c r="AI96" s="2"/>
      <c r="AJ96" s="2"/>
      <c r="AK96" s="2"/>
    </row>
    <row r="97">
      <c r="A97" s="26" t="s">
        <v>27</v>
      </c>
      <c r="B97" s="27" t="s">
        <v>172</v>
      </c>
      <c r="C97" s="27" t="s">
        <v>29</v>
      </c>
      <c r="D97" s="27" t="s">
        <v>40</v>
      </c>
      <c r="E97" s="27" t="s">
        <v>41</v>
      </c>
      <c r="F97" s="27" t="s">
        <v>175</v>
      </c>
      <c r="G97" s="27" t="s">
        <v>33</v>
      </c>
      <c r="H97" s="27" t="s">
        <v>65</v>
      </c>
      <c r="I97" s="27" t="s">
        <v>61</v>
      </c>
      <c r="J97" s="27" t="s">
        <v>176</v>
      </c>
      <c r="K97" s="27" t="s">
        <v>177</v>
      </c>
      <c r="L97" s="27" t="s">
        <v>38</v>
      </c>
      <c r="M97" s="27" t="s">
        <v>30</v>
      </c>
      <c r="N97" s="27">
        <v>1141.0</v>
      </c>
      <c r="O97" s="27">
        <v>1098.0</v>
      </c>
      <c r="P97" s="29">
        <v>1.0392</v>
      </c>
      <c r="Q97" s="14">
        <v>0.3333333333333333</v>
      </c>
      <c r="R97" s="29">
        <v>1.1704</v>
      </c>
      <c r="S97" s="29">
        <v>0.3</v>
      </c>
      <c r="T97" s="31">
        <v>1463.27</v>
      </c>
      <c r="U97" s="29">
        <v>0.0</v>
      </c>
      <c r="V97" s="29">
        <v>1.0</v>
      </c>
      <c r="W97" s="29">
        <v>1.0</v>
      </c>
      <c r="X97" s="31">
        <v>1712.611208</v>
      </c>
      <c r="Y97" s="28"/>
      <c r="Z97" s="32">
        <v>1712.611208</v>
      </c>
      <c r="AA97" s="2"/>
      <c r="AB97" s="2"/>
      <c r="AC97" s="2"/>
      <c r="AD97" s="2"/>
      <c r="AE97" s="2"/>
      <c r="AF97" s="2"/>
      <c r="AG97" s="2" t="str">
        <f>'IC Output - HUB'!$N97&amp;'IC Output - HUB'!$M97&amp;'IC Output - HUB'!$I97&amp;'IC Output - HUB'!$L97&amp;'IC Output - HUB'!$P97</f>
        <v>1141NationGoal AttainmentTrimester1.0392</v>
      </c>
      <c r="AH97" s="2"/>
      <c r="AI97" s="2"/>
      <c r="AJ97" s="2"/>
      <c r="AK97" s="2"/>
    </row>
    <row r="98">
      <c r="A98" s="18" t="s">
        <v>27</v>
      </c>
      <c r="B98" s="19" t="s">
        <v>172</v>
      </c>
      <c r="C98" s="19" t="s">
        <v>29</v>
      </c>
      <c r="D98" s="19" t="s">
        <v>40</v>
      </c>
      <c r="E98" s="19" t="s">
        <v>41</v>
      </c>
      <c r="F98" s="19" t="s">
        <v>175</v>
      </c>
      <c r="G98" s="19" t="s">
        <v>33</v>
      </c>
      <c r="H98" s="19" t="s">
        <v>65</v>
      </c>
      <c r="I98" s="19" t="s">
        <v>61</v>
      </c>
      <c r="J98" s="19" t="s">
        <v>176</v>
      </c>
      <c r="K98" s="19" t="s">
        <v>177</v>
      </c>
      <c r="L98" s="19" t="s">
        <v>38</v>
      </c>
      <c r="M98" s="19" t="s">
        <v>40</v>
      </c>
      <c r="N98" s="19">
        <v>389.0</v>
      </c>
      <c r="O98" s="19">
        <v>353.0</v>
      </c>
      <c r="P98" s="21">
        <v>1.102</v>
      </c>
      <c r="Q98" s="22">
        <v>0.3333333333333333</v>
      </c>
      <c r="R98" s="21">
        <v>1.4294</v>
      </c>
      <c r="S98" s="21">
        <v>0.7</v>
      </c>
      <c r="T98" s="24">
        <v>3414.3</v>
      </c>
      <c r="U98" s="21">
        <v>0.0</v>
      </c>
      <c r="V98" s="21">
        <v>1.0</v>
      </c>
      <c r="W98" s="21">
        <v>1.0</v>
      </c>
      <c r="X98" s="24">
        <v>4880.40042</v>
      </c>
      <c r="Y98" s="20"/>
      <c r="Z98" s="25">
        <v>4880.40042</v>
      </c>
      <c r="AA98" s="2"/>
      <c r="AB98" s="2"/>
      <c r="AC98" s="2"/>
      <c r="AD98" s="2"/>
      <c r="AE98" s="2"/>
      <c r="AF98" s="2"/>
      <c r="AG98" s="2" t="str">
        <f>'IC Output - HUB'!$N98&amp;'IC Output - HUB'!$M98&amp;'IC Output - HUB'!$I98&amp;'IC Output - HUB'!$L98&amp;'IC Output - HUB'!$P98</f>
        <v>389TerritoryGoal AttainmentTrimester1.102</v>
      </c>
      <c r="AH98" s="2"/>
      <c r="AI98" s="2"/>
      <c r="AJ98" s="2"/>
      <c r="AK98" s="2"/>
    </row>
    <row r="99">
      <c r="A99" s="26" t="s">
        <v>27</v>
      </c>
      <c r="B99" s="27" t="s">
        <v>172</v>
      </c>
      <c r="C99" s="27" t="s">
        <v>29</v>
      </c>
      <c r="D99" s="27" t="s">
        <v>40</v>
      </c>
      <c r="E99" s="27" t="s">
        <v>41</v>
      </c>
      <c r="F99" s="27" t="s">
        <v>175</v>
      </c>
      <c r="G99" s="27" t="s">
        <v>33</v>
      </c>
      <c r="H99" s="27" t="s">
        <v>65</v>
      </c>
      <c r="I99" s="27" t="s">
        <v>61</v>
      </c>
      <c r="J99" s="27" t="s">
        <v>178</v>
      </c>
      <c r="K99" s="27" t="s">
        <v>179</v>
      </c>
      <c r="L99" s="27" t="s">
        <v>38</v>
      </c>
      <c r="M99" s="27" t="s">
        <v>30</v>
      </c>
      <c r="N99" s="27">
        <v>1141.0</v>
      </c>
      <c r="O99" s="27">
        <v>1098.0</v>
      </c>
      <c r="P99" s="29">
        <v>1.0392</v>
      </c>
      <c r="Q99" s="14">
        <v>0.3333333333333333</v>
      </c>
      <c r="R99" s="29">
        <v>1.1704</v>
      </c>
      <c r="S99" s="29">
        <v>0.3</v>
      </c>
      <c r="T99" s="31">
        <v>1463.27</v>
      </c>
      <c r="U99" s="29">
        <v>0.0</v>
      </c>
      <c r="V99" s="29">
        <v>1.0</v>
      </c>
      <c r="W99" s="29">
        <v>1.0</v>
      </c>
      <c r="X99" s="31">
        <v>1712.611208</v>
      </c>
      <c r="Y99" s="28"/>
      <c r="Z99" s="32">
        <v>1712.611208</v>
      </c>
      <c r="AA99" s="2"/>
      <c r="AB99" s="2"/>
      <c r="AC99" s="2"/>
      <c r="AD99" s="2"/>
      <c r="AE99" s="2"/>
      <c r="AF99" s="2"/>
      <c r="AG99" s="2" t="str">
        <f>'IC Output - HUB'!$N99&amp;'IC Output - HUB'!$M99&amp;'IC Output - HUB'!$I99&amp;'IC Output - HUB'!$L99&amp;'IC Output - HUB'!$P99</f>
        <v>1141NationGoal AttainmentTrimester1.0392</v>
      </c>
      <c r="AH99" s="2"/>
      <c r="AI99" s="2"/>
      <c r="AJ99" s="2"/>
      <c r="AK99" s="2"/>
    </row>
    <row r="100">
      <c r="A100" s="18" t="s">
        <v>27</v>
      </c>
      <c r="B100" s="19" t="s">
        <v>172</v>
      </c>
      <c r="C100" s="19" t="s">
        <v>29</v>
      </c>
      <c r="D100" s="19" t="s">
        <v>40</v>
      </c>
      <c r="E100" s="19" t="s">
        <v>41</v>
      </c>
      <c r="F100" s="19" t="s">
        <v>175</v>
      </c>
      <c r="G100" s="19" t="s">
        <v>33</v>
      </c>
      <c r="H100" s="19" t="s">
        <v>65</v>
      </c>
      <c r="I100" s="19" t="s">
        <v>61</v>
      </c>
      <c r="J100" s="19" t="s">
        <v>178</v>
      </c>
      <c r="K100" s="19" t="s">
        <v>179</v>
      </c>
      <c r="L100" s="19" t="s">
        <v>38</v>
      </c>
      <c r="M100" s="19" t="s">
        <v>40</v>
      </c>
      <c r="N100" s="19">
        <v>386.0</v>
      </c>
      <c r="O100" s="19">
        <v>373.0</v>
      </c>
      <c r="P100" s="21">
        <v>1.0349</v>
      </c>
      <c r="Q100" s="22">
        <v>0.3333333333333333</v>
      </c>
      <c r="R100" s="21">
        <v>1.1519</v>
      </c>
      <c r="S100" s="21">
        <v>0.7</v>
      </c>
      <c r="T100" s="24">
        <v>3414.3</v>
      </c>
      <c r="U100" s="21">
        <v>0.0</v>
      </c>
      <c r="V100" s="21">
        <v>1.0</v>
      </c>
      <c r="W100" s="21">
        <v>1.0</v>
      </c>
      <c r="X100" s="24">
        <v>3932.93217</v>
      </c>
      <c r="Y100" s="20"/>
      <c r="Z100" s="25">
        <v>3932.93217</v>
      </c>
      <c r="AA100" s="2"/>
      <c r="AB100" s="2"/>
      <c r="AC100" s="2"/>
      <c r="AD100" s="2"/>
      <c r="AE100" s="2"/>
      <c r="AF100" s="2"/>
      <c r="AG100" s="2" t="str">
        <f>'IC Output - HUB'!$N100&amp;'IC Output - HUB'!$M100&amp;'IC Output - HUB'!$I100&amp;'IC Output - HUB'!$L100&amp;'IC Output - HUB'!$P100</f>
        <v>386TerritoryGoal AttainmentTrimester1.0349</v>
      </c>
      <c r="AH100" s="2"/>
      <c r="AI100" s="2"/>
      <c r="AJ100" s="2"/>
      <c r="AK100" s="2"/>
    </row>
    <row r="101">
      <c r="A101" s="26" t="s">
        <v>27</v>
      </c>
      <c r="B101" s="27" t="s">
        <v>172</v>
      </c>
      <c r="C101" s="27" t="s">
        <v>29</v>
      </c>
      <c r="D101" s="27" t="s">
        <v>40</v>
      </c>
      <c r="E101" s="27" t="s">
        <v>41</v>
      </c>
      <c r="F101" s="27" t="s">
        <v>175</v>
      </c>
      <c r="G101" s="27" t="s">
        <v>33</v>
      </c>
      <c r="H101" s="27" t="s">
        <v>65</v>
      </c>
      <c r="I101" s="27" t="s">
        <v>61</v>
      </c>
      <c r="J101" s="27" t="s">
        <v>180</v>
      </c>
      <c r="K101" s="27" t="s">
        <v>181</v>
      </c>
      <c r="L101" s="27" t="s">
        <v>38</v>
      </c>
      <c r="M101" s="27" t="s">
        <v>30</v>
      </c>
      <c r="N101" s="27">
        <v>1141.0</v>
      </c>
      <c r="O101" s="27">
        <v>1098.0</v>
      </c>
      <c r="P101" s="29">
        <v>1.0392</v>
      </c>
      <c r="Q101" s="14">
        <v>0.3333333333333333</v>
      </c>
      <c r="R101" s="29">
        <v>1.1704</v>
      </c>
      <c r="S101" s="29">
        <v>0.3</v>
      </c>
      <c r="T101" s="31">
        <v>1463.27</v>
      </c>
      <c r="U101" s="29">
        <v>0.0</v>
      </c>
      <c r="V101" s="29">
        <v>1.0</v>
      </c>
      <c r="W101" s="29">
        <v>1.0</v>
      </c>
      <c r="X101" s="31">
        <v>1712.611208</v>
      </c>
      <c r="Y101" s="28"/>
      <c r="Z101" s="32">
        <v>1712.611208</v>
      </c>
      <c r="AA101" s="2"/>
      <c r="AB101" s="2"/>
      <c r="AC101" s="2"/>
      <c r="AD101" s="2"/>
      <c r="AE101" s="2"/>
      <c r="AF101" s="2"/>
      <c r="AG101" s="2" t="str">
        <f>'IC Output - HUB'!$N101&amp;'IC Output - HUB'!$M101&amp;'IC Output - HUB'!$I101&amp;'IC Output - HUB'!$L101&amp;'IC Output - HUB'!$P101</f>
        <v>1141NationGoal AttainmentTrimester1.0392</v>
      </c>
      <c r="AH101" s="2"/>
      <c r="AI101" s="2"/>
      <c r="AJ101" s="2"/>
      <c r="AK101" s="2"/>
    </row>
    <row r="102">
      <c r="A102" s="18" t="s">
        <v>27</v>
      </c>
      <c r="B102" s="19" t="s">
        <v>172</v>
      </c>
      <c r="C102" s="19" t="s">
        <v>29</v>
      </c>
      <c r="D102" s="19" t="s">
        <v>40</v>
      </c>
      <c r="E102" s="19" t="s">
        <v>41</v>
      </c>
      <c r="F102" s="19" t="s">
        <v>175</v>
      </c>
      <c r="G102" s="19" t="s">
        <v>33</v>
      </c>
      <c r="H102" s="19" t="s">
        <v>65</v>
      </c>
      <c r="I102" s="19" t="s">
        <v>61</v>
      </c>
      <c r="J102" s="19" t="s">
        <v>180</v>
      </c>
      <c r="K102" s="19" t="s">
        <v>181</v>
      </c>
      <c r="L102" s="19" t="s">
        <v>38</v>
      </c>
      <c r="M102" s="19" t="s">
        <v>40</v>
      </c>
      <c r="N102" s="19">
        <v>366.0</v>
      </c>
      <c r="O102" s="19">
        <v>372.0</v>
      </c>
      <c r="P102" s="21">
        <v>0.9839</v>
      </c>
      <c r="Q102" s="22">
        <v>0.3333333333333333</v>
      </c>
      <c r="R102" s="21">
        <v>0.9191</v>
      </c>
      <c r="S102" s="21">
        <v>0.7</v>
      </c>
      <c r="T102" s="24">
        <v>3414.3</v>
      </c>
      <c r="U102" s="21">
        <v>0.0</v>
      </c>
      <c r="V102" s="21">
        <v>1.0</v>
      </c>
      <c r="W102" s="21">
        <v>1.0</v>
      </c>
      <c r="X102" s="24">
        <v>3138.0831300000004</v>
      </c>
      <c r="Y102" s="20"/>
      <c r="Z102" s="25">
        <v>3138.0831300000004</v>
      </c>
      <c r="AA102" s="2"/>
      <c r="AB102" s="2"/>
      <c r="AC102" s="2"/>
      <c r="AD102" s="2"/>
      <c r="AE102" s="2"/>
      <c r="AF102" s="2"/>
      <c r="AG102" s="2" t="str">
        <f>'IC Output - HUB'!$N102&amp;'IC Output - HUB'!$M102&amp;'IC Output - HUB'!$I102&amp;'IC Output - HUB'!$L102&amp;'IC Output - HUB'!$P102</f>
        <v>366TerritoryGoal AttainmentTrimester0.9839</v>
      </c>
      <c r="AH102" s="2"/>
      <c r="AI102" s="2"/>
      <c r="AJ102" s="2"/>
      <c r="AK102" s="2"/>
    </row>
    <row r="103">
      <c r="A103" s="26" t="s">
        <v>27</v>
      </c>
      <c r="B103" s="27" t="s">
        <v>182</v>
      </c>
      <c r="C103" s="27" t="s">
        <v>113</v>
      </c>
      <c r="D103" s="27" t="s">
        <v>40</v>
      </c>
      <c r="E103" s="27" t="s">
        <v>41</v>
      </c>
      <c r="F103" s="27" t="s">
        <v>183</v>
      </c>
      <c r="G103" s="27" t="s">
        <v>33</v>
      </c>
      <c r="H103" s="27" t="s">
        <v>184</v>
      </c>
      <c r="I103" s="27" t="s">
        <v>61</v>
      </c>
      <c r="J103" s="27" t="s">
        <v>185</v>
      </c>
      <c r="K103" s="27" t="s">
        <v>186</v>
      </c>
      <c r="L103" s="27" t="s">
        <v>117</v>
      </c>
      <c r="M103" s="27" t="s">
        <v>40</v>
      </c>
      <c r="N103" s="27">
        <v>500.0</v>
      </c>
      <c r="O103" s="27">
        <v>8053.803213215939</v>
      </c>
      <c r="P103" s="29">
        <v>0.0621</v>
      </c>
      <c r="Q103" s="14">
        <v>1.0</v>
      </c>
      <c r="R103" s="29">
        <v>0.0</v>
      </c>
      <c r="S103" s="29">
        <v>0.15</v>
      </c>
      <c r="T103" s="31">
        <v>628.41</v>
      </c>
      <c r="U103" s="29">
        <v>0.0</v>
      </c>
      <c r="V103" s="29">
        <v>0.0</v>
      </c>
      <c r="W103" s="29">
        <v>0.0</v>
      </c>
      <c r="X103" s="31">
        <v>0.0</v>
      </c>
      <c r="Y103" s="28"/>
      <c r="Z103" s="32">
        <v>0.0</v>
      </c>
      <c r="AA103" s="2"/>
      <c r="AB103" s="2"/>
      <c r="AC103" s="2"/>
      <c r="AD103" s="2"/>
      <c r="AE103" s="2"/>
      <c r="AF103" s="2"/>
      <c r="AG103" s="2" t="str">
        <f>'IC Output - HUB'!$N103&amp;'IC Output - HUB'!$M103&amp;'IC Output - HUB'!$I103&amp;'IC Output - HUB'!$L103&amp;'IC Output - HUB'!$P103</f>
        <v>500TerritoryGoal AttainmentSemester0.0621</v>
      </c>
      <c r="AH103" s="2"/>
      <c r="AI103" s="2"/>
      <c r="AJ103" s="2"/>
      <c r="AK103" s="2"/>
    </row>
    <row r="104">
      <c r="A104" s="18" t="s">
        <v>27</v>
      </c>
      <c r="B104" s="19" t="s">
        <v>182</v>
      </c>
      <c r="C104" s="19" t="s">
        <v>113</v>
      </c>
      <c r="D104" s="19" t="s">
        <v>40</v>
      </c>
      <c r="E104" s="19" t="s">
        <v>41</v>
      </c>
      <c r="F104" s="19" t="s">
        <v>187</v>
      </c>
      <c r="G104" s="19" t="s">
        <v>33</v>
      </c>
      <c r="H104" s="19" t="s">
        <v>184</v>
      </c>
      <c r="I104" s="19" t="s">
        <v>61</v>
      </c>
      <c r="J104" s="19" t="s">
        <v>185</v>
      </c>
      <c r="K104" s="19" t="s">
        <v>186</v>
      </c>
      <c r="L104" s="19" t="s">
        <v>117</v>
      </c>
      <c r="M104" s="19" t="s">
        <v>40</v>
      </c>
      <c r="N104" s="19">
        <v>84530.0</v>
      </c>
      <c r="O104" s="19">
        <v>64802.33042030795</v>
      </c>
      <c r="P104" s="21">
        <v>1.3044</v>
      </c>
      <c r="Q104" s="22">
        <v>1.0</v>
      </c>
      <c r="R104" s="21">
        <v>2.0709</v>
      </c>
      <c r="S104" s="21">
        <v>0.65</v>
      </c>
      <c r="T104" s="24">
        <v>2723.1</v>
      </c>
      <c r="U104" s="21">
        <v>0.0</v>
      </c>
      <c r="V104" s="21">
        <v>0.0</v>
      </c>
      <c r="W104" s="21">
        <v>0.0</v>
      </c>
      <c r="X104" s="24">
        <v>5639.26779</v>
      </c>
      <c r="Y104" s="20"/>
      <c r="Z104" s="25">
        <v>0.0</v>
      </c>
      <c r="AA104" s="2"/>
      <c r="AB104" s="2"/>
      <c r="AC104" s="2"/>
      <c r="AD104" s="2"/>
      <c r="AE104" s="2"/>
      <c r="AF104" s="2"/>
      <c r="AG104" s="2" t="str">
        <f>'IC Output - HUB'!$N104&amp;'IC Output - HUB'!$M104&amp;'IC Output - HUB'!$I104&amp;'IC Output - HUB'!$L104&amp;'IC Output - HUB'!$P104</f>
        <v>84530TerritoryGoal AttainmentSemester1.3044</v>
      </c>
      <c r="AH104" s="2"/>
      <c r="AI104" s="2"/>
      <c r="AJ104" s="2"/>
      <c r="AK104" s="2"/>
    </row>
    <row r="105">
      <c r="A105" s="26" t="s">
        <v>27</v>
      </c>
      <c r="B105" s="27" t="s">
        <v>182</v>
      </c>
      <c r="C105" s="27" t="s">
        <v>113</v>
      </c>
      <c r="D105" s="27" t="s">
        <v>40</v>
      </c>
      <c r="E105" s="27" t="s">
        <v>41</v>
      </c>
      <c r="F105" s="27" t="s">
        <v>119</v>
      </c>
      <c r="G105" s="27" t="s">
        <v>33</v>
      </c>
      <c r="H105" s="27" t="s">
        <v>184</v>
      </c>
      <c r="I105" s="27" t="s">
        <v>61</v>
      </c>
      <c r="J105" s="27" t="s">
        <v>185</v>
      </c>
      <c r="K105" s="27" t="s">
        <v>186</v>
      </c>
      <c r="L105" s="27" t="s">
        <v>117</v>
      </c>
      <c r="M105" s="27" t="s">
        <v>90</v>
      </c>
      <c r="N105" s="28" t="s">
        <v>39</v>
      </c>
      <c r="O105" s="28" t="s">
        <v>39</v>
      </c>
      <c r="P105" s="30" t="s">
        <v>39</v>
      </c>
      <c r="Q105" s="14">
        <v>1.0</v>
      </c>
      <c r="R105" s="30" t="s">
        <v>39</v>
      </c>
      <c r="S105" s="29">
        <v>0.2</v>
      </c>
      <c r="T105" s="31">
        <v>837.88</v>
      </c>
      <c r="U105" s="29">
        <v>0.0</v>
      </c>
      <c r="V105" s="29">
        <v>0.0</v>
      </c>
      <c r="W105" s="29">
        <v>0.0</v>
      </c>
      <c r="X105" s="31">
        <v>0.0</v>
      </c>
      <c r="Y105" s="28"/>
      <c r="Z105" s="32">
        <v>0.0</v>
      </c>
      <c r="AA105" s="2"/>
      <c r="AB105" s="2"/>
      <c r="AC105" s="2"/>
      <c r="AD105" s="2"/>
      <c r="AE105" s="2"/>
      <c r="AF105" s="2"/>
      <c r="AG105" s="2" t="str">
        <f>'IC Output - HUB'!$N105&amp;'IC Output - HUB'!$M105&amp;'IC Output - HUB'!$I105&amp;'IC Output - HUB'!$L105&amp;'IC Output - HUB'!$P105</f>
        <v>RegionGoal AttainmentSemester</v>
      </c>
      <c r="AH105" s="2"/>
      <c r="AI105" s="2"/>
      <c r="AJ105" s="2"/>
      <c r="AK105" s="2"/>
    </row>
    <row r="106">
      <c r="A106" s="18" t="s">
        <v>27</v>
      </c>
      <c r="B106" s="19" t="s">
        <v>182</v>
      </c>
      <c r="C106" s="19" t="s">
        <v>113</v>
      </c>
      <c r="D106" s="19" t="s">
        <v>40</v>
      </c>
      <c r="E106" s="19" t="s">
        <v>41</v>
      </c>
      <c r="F106" s="19" t="s">
        <v>183</v>
      </c>
      <c r="G106" s="19" t="s">
        <v>33</v>
      </c>
      <c r="H106" s="19" t="s">
        <v>184</v>
      </c>
      <c r="I106" s="19" t="s">
        <v>61</v>
      </c>
      <c r="J106" s="19" t="s">
        <v>185</v>
      </c>
      <c r="K106" s="19" t="s">
        <v>188</v>
      </c>
      <c r="L106" s="19" t="s">
        <v>117</v>
      </c>
      <c r="M106" s="19" t="s">
        <v>40</v>
      </c>
      <c r="N106" s="19">
        <v>500.0</v>
      </c>
      <c r="O106" s="19">
        <v>8053.803213215939</v>
      </c>
      <c r="P106" s="21">
        <v>0.0621</v>
      </c>
      <c r="Q106" s="22">
        <v>1.0</v>
      </c>
      <c r="R106" s="21">
        <v>0.0</v>
      </c>
      <c r="S106" s="21">
        <v>0.15</v>
      </c>
      <c r="T106" s="24">
        <v>628.41</v>
      </c>
      <c r="U106" s="21">
        <v>0.0</v>
      </c>
      <c r="V106" s="21">
        <v>0.0</v>
      </c>
      <c r="W106" s="21">
        <v>0.0</v>
      </c>
      <c r="X106" s="24">
        <v>0.0</v>
      </c>
      <c r="Y106" s="20"/>
      <c r="Z106" s="25">
        <v>0.0</v>
      </c>
      <c r="AA106" s="2"/>
      <c r="AB106" s="2"/>
      <c r="AC106" s="2"/>
      <c r="AD106" s="2"/>
      <c r="AE106" s="2"/>
      <c r="AF106" s="2"/>
      <c r="AG106" s="2" t="str">
        <f>'IC Output - HUB'!$N106&amp;'IC Output - HUB'!$M106&amp;'IC Output - HUB'!$I106&amp;'IC Output - HUB'!$L106&amp;'IC Output - HUB'!$P106</f>
        <v>500TerritoryGoal AttainmentSemester0.0621</v>
      </c>
      <c r="AH106" s="2"/>
      <c r="AI106" s="2"/>
      <c r="AJ106" s="2"/>
      <c r="AK106" s="2"/>
    </row>
    <row r="107">
      <c r="A107" s="26" t="s">
        <v>27</v>
      </c>
      <c r="B107" s="27" t="s">
        <v>182</v>
      </c>
      <c r="C107" s="27" t="s">
        <v>113</v>
      </c>
      <c r="D107" s="27" t="s">
        <v>40</v>
      </c>
      <c r="E107" s="27" t="s">
        <v>41</v>
      </c>
      <c r="F107" s="27" t="s">
        <v>187</v>
      </c>
      <c r="G107" s="27" t="s">
        <v>33</v>
      </c>
      <c r="H107" s="27" t="s">
        <v>184</v>
      </c>
      <c r="I107" s="27" t="s">
        <v>61</v>
      </c>
      <c r="J107" s="27" t="s">
        <v>185</v>
      </c>
      <c r="K107" s="27" t="s">
        <v>188</v>
      </c>
      <c r="L107" s="27" t="s">
        <v>117</v>
      </c>
      <c r="M107" s="27" t="s">
        <v>40</v>
      </c>
      <c r="N107" s="27">
        <v>84530.0</v>
      </c>
      <c r="O107" s="27">
        <v>64802.33042030795</v>
      </c>
      <c r="P107" s="29">
        <v>1.3044</v>
      </c>
      <c r="Q107" s="14">
        <v>1.0</v>
      </c>
      <c r="R107" s="29">
        <v>2.0709</v>
      </c>
      <c r="S107" s="29">
        <v>0.65</v>
      </c>
      <c r="T107" s="31">
        <v>2723.1</v>
      </c>
      <c r="U107" s="29">
        <v>0.0</v>
      </c>
      <c r="V107" s="29">
        <v>0.0</v>
      </c>
      <c r="W107" s="29">
        <v>0.0</v>
      </c>
      <c r="X107" s="31">
        <v>5639.26779</v>
      </c>
      <c r="Y107" s="28"/>
      <c r="Z107" s="32">
        <v>0.0</v>
      </c>
      <c r="AA107" s="2"/>
      <c r="AB107" s="2"/>
      <c r="AC107" s="2"/>
      <c r="AD107" s="2"/>
      <c r="AE107" s="2"/>
      <c r="AF107" s="2"/>
      <c r="AG107" s="2" t="str">
        <f>'IC Output - HUB'!$N107&amp;'IC Output - HUB'!$M107&amp;'IC Output - HUB'!$I107&amp;'IC Output - HUB'!$L107&amp;'IC Output - HUB'!$P107</f>
        <v>84530TerritoryGoal AttainmentSemester1.3044</v>
      </c>
      <c r="AH107" s="2"/>
      <c r="AI107" s="2"/>
      <c r="AJ107" s="2"/>
      <c r="AK107" s="2"/>
    </row>
    <row r="108">
      <c r="A108" s="18" t="s">
        <v>27</v>
      </c>
      <c r="B108" s="19" t="s">
        <v>182</v>
      </c>
      <c r="C108" s="19" t="s">
        <v>113</v>
      </c>
      <c r="D108" s="19" t="s">
        <v>40</v>
      </c>
      <c r="E108" s="19" t="s">
        <v>41</v>
      </c>
      <c r="F108" s="19" t="s">
        <v>119</v>
      </c>
      <c r="G108" s="19" t="s">
        <v>33</v>
      </c>
      <c r="H108" s="19" t="s">
        <v>184</v>
      </c>
      <c r="I108" s="19" t="s">
        <v>61</v>
      </c>
      <c r="J108" s="19" t="s">
        <v>185</v>
      </c>
      <c r="K108" s="19" t="s">
        <v>188</v>
      </c>
      <c r="L108" s="19" t="s">
        <v>117</v>
      </c>
      <c r="M108" s="19" t="s">
        <v>90</v>
      </c>
      <c r="N108" s="19">
        <v>19960.0</v>
      </c>
      <c r="O108" s="19">
        <v>474506.41336458124</v>
      </c>
      <c r="P108" s="21">
        <v>0.0421</v>
      </c>
      <c r="Q108" s="22">
        <v>1.0</v>
      </c>
      <c r="R108" s="21">
        <v>0.0</v>
      </c>
      <c r="S108" s="21">
        <v>0.2</v>
      </c>
      <c r="T108" s="24">
        <v>837.88</v>
      </c>
      <c r="U108" s="21">
        <v>0.0</v>
      </c>
      <c r="V108" s="21">
        <v>0.0</v>
      </c>
      <c r="W108" s="21">
        <v>0.0</v>
      </c>
      <c r="X108" s="24">
        <v>0.0</v>
      </c>
      <c r="Y108" s="20"/>
      <c r="Z108" s="25">
        <v>0.0</v>
      </c>
      <c r="AA108" s="2"/>
      <c r="AB108" s="2"/>
      <c r="AC108" s="2"/>
      <c r="AD108" s="2"/>
      <c r="AE108" s="2"/>
      <c r="AF108" s="2"/>
      <c r="AG108" s="2" t="str">
        <f>'IC Output - HUB'!$N108&amp;'IC Output - HUB'!$M108&amp;'IC Output - HUB'!$I108&amp;'IC Output - HUB'!$L108&amp;'IC Output - HUB'!$P108</f>
        <v>19960RegionGoal AttainmentSemester0.0421</v>
      </c>
      <c r="AH108" s="2"/>
      <c r="AI108" s="2"/>
      <c r="AJ108" s="2"/>
      <c r="AK108" s="2"/>
    </row>
  </sheetData>
  <drawing r:id="rId1"/>
  <tableParts count="1">
    <tablePart r:id="rId3"/>
  </tableParts>
</worksheet>
</file>